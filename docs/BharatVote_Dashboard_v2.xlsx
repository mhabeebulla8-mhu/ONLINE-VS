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Helper" sheetId="3" state="visible" r:id="rId5"/>
  </sheets>
  <definedNames>
    <definedName function="false" hidden="false" localSheetId="0" name="_xlnm.Print_Area" vbProcedure="false">Dashboard!$A$1:$M$53</definedName>
    <definedName function="false" hidden="true" localSheetId="1" name="_xlnm._FilterDatabase" vbProcedure="false">'Raw Data'!$A$1:$L$1001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<sst xmlns="http://schemas.openxmlformats.org/spreadsheetml/2006/main" count="7069" uniqueCount="3067">
  <si>
    <t xml:space="preserve">BharatVote — Election Results &amp; Analytics Dashboard</t>
  </si>
  <si>
    <t xml:space="preserve">Comprehensive Election Analytics • Real-Time Insights • Data-Driven Democracy</t>
  </si>
  <si>
    <t xml:space="preserve">Total Registered Voters</t>
  </si>
  <si>
    <t xml:space="preserve">Total Votes Cast</t>
  </si>
  <si>
    <t xml:space="preserve">Overall Turnout %</t>
  </si>
  <si>
    <t xml:space="preserve">Leading Party</t>
  </si>
  <si>
    <t xml:space="preserve">   DETAILED ANALYTICS</t>
  </si>
  <si>
    <t xml:space="preserve">   CONSTITUENCY PERFORMANCE</t>
  </si>
  <si>
    <t xml:space="preserve">Constituency</t>
  </si>
  <si>
    <t xml:space="preserve">Registered</t>
  </si>
  <si>
    <t xml:space="preserve">Votes Cast</t>
  </si>
  <si>
    <t xml:space="preserve">Turnout %</t>
  </si>
  <si>
    <t xml:space="preserve">   VOTER APPROVAL STATUS</t>
  </si>
  <si>
    <t xml:space="preserve">Status</t>
  </si>
  <si>
    <t xml:space="preserve">Count</t>
  </si>
  <si>
    <t xml:space="preserve">Share %</t>
  </si>
  <si>
    <t xml:space="preserve">   KEY INSIGHTS</t>
  </si>
  <si>
    <t xml:space="preserve">Data source: BharatVote Voter &amp; Election Database</t>
  </si>
  <si>
    <t xml:space="preserve">BharatVote © 2026  •  Powered by EPIC-Based Voter Registration  •  Constituency-Locked Voting System</t>
  </si>
  <si>
    <t xml:space="preserve">ID</t>
  </si>
  <si>
    <t xml:space="preserve">Voter EPIC Number</t>
  </si>
  <si>
    <t xml:space="preserve">Voter Name</t>
  </si>
  <si>
    <t xml:space="preserve">Voter Constituency</t>
  </si>
  <si>
    <t xml:space="preserve">Has Voted</t>
  </si>
  <si>
    <t xml:space="preserve">Voter Status</t>
  </si>
  <si>
    <t xml:space="preserve">Candidate ID</t>
  </si>
  <si>
    <t xml:space="preserve">Candidate Name</t>
  </si>
  <si>
    <t xml:space="preserve">Candidate Party</t>
  </si>
  <si>
    <t xml:space="preserve">Candidate Constituency</t>
  </si>
  <si>
    <t xml:space="preserve">Candidate Votes</t>
  </si>
  <si>
    <t xml:space="preserve">Vote Timestamp</t>
  </si>
  <si>
    <t xml:space="preserve">EPIC100001</t>
  </si>
  <si>
    <t xml:space="preserve">Annabel Pactat</t>
  </si>
  <si>
    <t xml:space="preserve">New Delhi</t>
  </si>
  <si>
    <t xml:space="preserve">REJECTED</t>
  </si>
  <si>
    <t xml:space="preserve">Shurwood Berr</t>
  </si>
  <si>
    <t xml:space="preserve">Progressive Party</t>
  </si>
  <si>
    <t xml:space="preserve">Mumbai South</t>
  </si>
  <si>
    <t xml:space="preserve">EPIC100002</t>
  </si>
  <si>
    <t xml:space="preserve">Bernhard Ellings</t>
  </si>
  <si>
    <t xml:space="preserve">APPROVED</t>
  </si>
  <si>
    <t xml:space="preserve">Gregory Urrey</t>
  </si>
  <si>
    <t xml:space="preserve">EPIC100003</t>
  </si>
  <si>
    <t xml:space="preserve">Andres Schankel</t>
  </si>
  <si>
    <t xml:space="preserve">PENDING</t>
  </si>
  <si>
    <t xml:space="preserve">Ole Columbine</t>
  </si>
  <si>
    <t xml:space="preserve">Unity Alliance</t>
  </si>
  <si>
    <t xml:space="preserve">Bangalore Central</t>
  </si>
  <si>
    <t xml:space="preserve">EPIC100004</t>
  </si>
  <si>
    <t xml:space="preserve">Carrissa Feeney</t>
  </si>
  <si>
    <t xml:space="preserve">Noella Jorgensen</t>
  </si>
  <si>
    <t xml:space="preserve">EPIC100005</t>
  </si>
  <si>
    <t xml:space="preserve">Bette Sayse</t>
  </si>
  <si>
    <t xml:space="preserve">Lorri Forseith</t>
  </si>
  <si>
    <t xml:space="preserve">EPIC100006</t>
  </si>
  <si>
    <t xml:space="preserve">Berty Georgescu</t>
  </si>
  <si>
    <t xml:space="preserve">Malissia Loudiane</t>
  </si>
  <si>
    <t xml:space="preserve">People's Front</t>
  </si>
  <si>
    <t xml:space="preserve">EPIC100007</t>
  </si>
  <si>
    <t xml:space="preserve">Dorena Sagerson</t>
  </si>
  <si>
    <t xml:space="preserve">Care Ciabatteri</t>
  </si>
  <si>
    <t xml:space="preserve">EPIC100008</t>
  </si>
  <si>
    <t xml:space="preserve">Laurent Prine</t>
  </si>
  <si>
    <t xml:space="preserve">Phineas Shelsher</t>
  </si>
  <si>
    <t xml:space="preserve">EPIC100009</t>
  </si>
  <si>
    <t xml:space="preserve">Vilhelmina State</t>
  </si>
  <si>
    <t xml:space="preserve">Halette Creggan</t>
  </si>
  <si>
    <t xml:space="preserve">EPIC100010</t>
  </si>
  <si>
    <t xml:space="preserve">Maxi Filmer</t>
  </si>
  <si>
    <t xml:space="preserve">Merell Crass</t>
  </si>
  <si>
    <t xml:space="preserve">EPIC100011</t>
  </si>
  <si>
    <t xml:space="preserve">Ernest Marsden</t>
  </si>
  <si>
    <t xml:space="preserve">Tarra Pulhoster</t>
  </si>
  <si>
    <t xml:space="preserve">EPIC100012</t>
  </si>
  <si>
    <t xml:space="preserve">Kendrick Hasslocher</t>
  </si>
  <si>
    <t xml:space="preserve">Grantley Medcraft</t>
  </si>
  <si>
    <t xml:space="preserve">EPIC100013</t>
  </si>
  <si>
    <t xml:space="preserve">Morlee O'Neill</t>
  </si>
  <si>
    <t xml:space="preserve">Rolfe Lorraway</t>
  </si>
  <si>
    <t xml:space="preserve">EPIC100014</t>
  </si>
  <si>
    <t xml:space="preserve">Bella Bullocke</t>
  </si>
  <si>
    <t xml:space="preserve">Jennie Mabbutt</t>
  </si>
  <si>
    <t xml:space="preserve">EPIC100015</t>
  </si>
  <si>
    <t xml:space="preserve">Konstantine Terese</t>
  </si>
  <si>
    <t xml:space="preserve">Maximo Scouller</t>
  </si>
  <si>
    <t xml:space="preserve">EPIC100016</t>
  </si>
  <si>
    <t xml:space="preserve">Carlene Beviss</t>
  </si>
  <si>
    <t xml:space="preserve">Allard Morais</t>
  </si>
  <si>
    <t xml:space="preserve">EPIC100017</t>
  </si>
  <si>
    <t xml:space="preserve">Lacy Staves</t>
  </si>
  <si>
    <t xml:space="preserve">Colleen Jeffrey</t>
  </si>
  <si>
    <t xml:space="preserve">EPIC100018</t>
  </si>
  <si>
    <t xml:space="preserve">Imogene Grigoryov</t>
  </si>
  <si>
    <t xml:space="preserve">Michele Paradise</t>
  </si>
  <si>
    <t xml:space="preserve">EPIC100019</t>
  </si>
  <si>
    <t xml:space="preserve">Whit Deplacido</t>
  </si>
  <si>
    <t xml:space="preserve">Galvin Barhims</t>
  </si>
  <si>
    <t xml:space="preserve">EPIC100020</t>
  </si>
  <si>
    <t xml:space="preserve">Trumann Slidders</t>
  </si>
  <si>
    <t xml:space="preserve">Peria Loggie</t>
  </si>
  <si>
    <t xml:space="preserve">EPIC100021</t>
  </si>
  <si>
    <t xml:space="preserve">Ken Rowswell</t>
  </si>
  <si>
    <t xml:space="preserve">Blane Cammis</t>
  </si>
  <si>
    <t xml:space="preserve">EPIC100022</t>
  </si>
  <si>
    <t xml:space="preserve">Alano Eyers</t>
  </si>
  <si>
    <t xml:space="preserve">Trey Oliphard</t>
  </si>
  <si>
    <t xml:space="preserve">EPIC100023</t>
  </si>
  <si>
    <t xml:space="preserve">Ferrell Whatman</t>
  </si>
  <si>
    <t xml:space="preserve">Raye Filov</t>
  </si>
  <si>
    <t xml:space="preserve">EPIC100024</t>
  </si>
  <si>
    <t xml:space="preserve">Nikita Sadd</t>
  </si>
  <si>
    <t xml:space="preserve">Marc Dhillon</t>
  </si>
  <si>
    <t xml:space="preserve">EPIC100025</t>
  </si>
  <si>
    <t xml:space="preserve">Maximilien Mazella</t>
  </si>
  <si>
    <t xml:space="preserve">Normie Grafom</t>
  </si>
  <si>
    <t xml:space="preserve">EPIC100026</t>
  </si>
  <si>
    <t xml:space="preserve">Horacio Lawley</t>
  </si>
  <si>
    <t xml:space="preserve">Darice Keatley</t>
  </si>
  <si>
    <t xml:space="preserve">EPIC100027</t>
  </si>
  <si>
    <t xml:space="preserve">Teressa Camilleri</t>
  </si>
  <si>
    <t xml:space="preserve">Grover Flynn</t>
  </si>
  <si>
    <t xml:space="preserve">EPIC100028</t>
  </si>
  <si>
    <t xml:space="preserve">Quintana Balsellie</t>
  </si>
  <si>
    <t xml:space="preserve">Morlee Houlaghan</t>
  </si>
  <si>
    <t xml:space="preserve">EPIC100029</t>
  </si>
  <si>
    <t xml:space="preserve">Maxwell Fernan</t>
  </si>
  <si>
    <t xml:space="preserve">Alfie Spurret</t>
  </si>
  <si>
    <t xml:space="preserve">EPIC100030</t>
  </si>
  <si>
    <t xml:space="preserve">Hedda Merring</t>
  </si>
  <si>
    <t xml:space="preserve">Erny Openshaw</t>
  </si>
  <si>
    <t xml:space="preserve">EPIC100031</t>
  </si>
  <si>
    <t xml:space="preserve">Massimiliano Raft</t>
  </si>
  <si>
    <t xml:space="preserve">Myra Willacot</t>
  </si>
  <si>
    <t xml:space="preserve">EPIC100032</t>
  </si>
  <si>
    <t xml:space="preserve">Tyrus Kunrad</t>
  </si>
  <si>
    <t xml:space="preserve">Lindy Medcraft</t>
  </si>
  <si>
    <t xml:space="preserve">EPIC100033</t>
  </si>
  <si>
    <t xml:space="preserve">Isadora Philip</t>
  </si>
  <si>
    <t xml:space="preserve">Vina Caffrey</t>
  </si>
  <si>
    <t xml:space="preserve">EPIC100034</t>
  </si>
  <si>
    <t xml:space="preserve">Dud Schulze</t>
  </si>
  <si>
    <t xml:space="preserve">Kristien Caillou</t>
  </si>
  <si>
    <t xml:space="preserve">EPIC100035</t>
  </si>
  <si>
    <t xml:space="preserve">Batsheva Cuttle</t>
  </si>
  <si>
    <t xml:space="preserve">Pansie Ormerod</t>
  </si>
  <si>
    <t xml:space="preserve">EPIC100036</t>
  </si>
  <si>
    <t xml:space="preserve">Thaddeus Lipman</t>
  </si>
  <si>
    <t xml:space="preserve">Melisse Pantecost</t>
  </si>
  <si>
    <t xml:space="preserve">EPIC100037</t>
  </si>
  <si>
    <t xml:space="preserve">Lindie Ruit</t>
  </si>
  <si>
    <t xml:space="preserve">Abigail Summerside</t>
  </si>
  <si>
    <t xml:space="preserve">EPIC100038</t>
  </si>
  <si>
    <t xml:space="preserve">Frasco Tassell</t>
  </si>
  <si>
    <t xml:space="preserve">Jessey Domanski</t>
  </si>
  <si>
    <t xml:space="preserve">EPIC100039</t>
  </si>
  <si>
    <t xml:space="preserve">Corie MacMurray</t>
  </si>
  <si>
    <t xml:space="preserve">Aida Newark</t>
  </si>
  <si>
    <t xml:space="preserve">EPIC100040</t>
  </si>
  <si>
    <t xml:space="preserve">Samson Kinnane</t>
  </si>
  <si>
    <t xml:space="preserve">Tremain Shobrook</t>
  </si>
  <si>
    <t xml:space="preserve">EPIC100041</t>
  </si>
  <si>
    <t xml:space="preserve">Roshelle Frie</t>
  </si>
  <si>
    <t xml:space="preserve">Austina Stanbury</t>
  </si>
  <si>
    <t xml:space="preserve">EPIC100042</t>
  </si>
  <si>
    <t xml:space="preserve">Andris Shard</t>
  </si>
  <si>
    <t xml:space="preserve">Pavia McHardy</t>
  </si>
  <si>
    <t xml:space="preserve">EPIC100043</t>
  </si>
  <si>
    <t xml:space="preserve">Vivianna Gynn</t>
  </si>
  <si>
    <t xml:space="preserve">Ariana Ivashnikov</t>
  </si>
  <si>
    <t xml:space="preserve">EPIC100044</t>
  </si>
  <si>
    <t xml:space="preserve">Pryce Soeiro</t>
  </si>
  <si>
    <t xml:space="preserve">Hubert Cabena</t>
  </si>
  <si>
    <t xml:space="preserve">EPIC100045</t>
  </si>
  <si>
    <t xml:space="preserve">Nollie Duinbleton</t>
  </si>
  <si>
    <t xml:space="preserve">Worthy Folan</t>
  </si>
  <si>
    <t xml:space="preserve">EPIC100046</t>
  </si>
  <si>
    <t xml:space="preserve">Sylvan McGarva</t>
  </si>
  <si>
    <t xml:space="preserve">Blondelle Ebdin</t>
  </si>
  <si>
    <t xml:space="preserve">EPIC100047</t>
  </si>
  <si>
    <t xml:space="preserve">Nola Grennan</t>
  </si>
  <si>
    <t xml:space="preserve">Reba Chue</t>
  </si>
  <si>
    <t xml:space="preserve">EPIC100048</t>
  </si>
  <si>
    <t xml:space="preserve">Dav Maudling</t>
  </si>
  <si>
    <t xml:space="preserve">Sayer Punter</t>
  </si>
  <si>
    <t xml:space="preserve">EPIC100049</t>
  </si>
  <si>
    <t xml:space="preserve">Jeno Defont</t>
  </si>
  <si>
    <t xml:space="preserve">Karol Bicker</t>
  </si>
  <si>
    <t xml:space="preserve">EPIC100050</t>
  </si>
  <si>
    <t xml:space="preserve">Gelya Bowlesworth</t>
  </si>
  <si>
    <t xml:space="preserve">Hanna Antognoni</t>
  </si>
  <si>
    <t xml:space="preserve">EPIC100051</t>
  </si>
  <si>
    <t xml:space="preserve">Kass Lathee</t>
  </si>
  <si>
    <t xml:space="preserve">Hunter Siderfin</t>
  </si>
  <si>
    <t xml:space="preserve">EPIC100052</t>
  </si>
  <si>
    <t xml:space="preserve">Kimbell Bavage</t>
  </si>
  <si>
    <t xml:space="preserve">Brnaby Siflet</t>
  </si>
  <si>
    <t xml:space="preserve">EPIC100053</t>
  </si>
  <si>
    <t xml:space="preserve">Verine Tschursch</t>
  </si>
  <si>
    <t xml:space="preserve">Adolpho Tulip</t>
  </si>
  <si>
    <t xml:space="preserve">EPIC100054</t>
  </si>
  <si>
    <t xml:space="preserve">Evelyn Errichiello</t>
  </si>
  <si>
    <t xml:space="preserve">Benedetta Kirkam</t>
  </si>
  <si>
    <t xml:space="preserve">EPIC100055</t>
  </si>
  <si>
    <t xml:space="preserve">Miriam Twiggs</t>
  </si>
  <si>
    <t xml:space="preserve">Hi Kagan</t>
  </si>
  <si>
    <t xml:space="preserve">EPIC100056</t>
  </si>
  <si>
    <t xml:space="preserve">Jefferey Juris</t>
  </si>
  <si>
    <t xml:space="preserve">Milicent Torr</t>
  </si>
  <si>
    <t xml:space="preserve">EPIC100057</t>
  </si>
  <si>
    <t xml:space="preserve">Helaine Haffenden</t>
  </si>
  <si>
    <t xml:space="preserve">Michale Killimister</t>
  </si>
  <si>
    <t xml:space="preserve">EPIC100058</t>
  </si>
  <si>
    <t xml:space="preserve">Alexia Scollick</t>
  </si>
  <si>
    <t xml:space="preserve">Iona Last</t>
  </si>
  <si>
    <t xml:space="preserve">EPIC100059</t>
  </si>
  <si>
    <t xml:space="preserve">Ofelia Stiggers</t>
  </si>
  <si>
    <t xml:space="preserve">Ardenia Janjusevic</t>
  </si>
  <si>
    <t xml:space="preserve">EPIC100060</t>
  </si>
  <si>
    <t xml:space="preserve">Geoff Huckell</t>
  </si>
  <si>
    <t xml:space="preserve">Curry Wiggans</t>
  </si>
  <si>
    <t xml:space="preserve">EPIC100061</t>
  </si>
  <si>
    <t xml:space="preserve">Dari Chezier</t>
  </si>
  <si>
    <t xml:space="preserve">Marisa Destouche</t>
  </si>
  <si>
    <t xml:space="preserve">EPIC100062</t>
  </si>
  <si>
    <t xml:space="preserve">Bruis Huban</t>
  </si>
  <si>
    <t xml:space="preserve">Tyrone Ilbert</t>
  </si>
  <si>
    <t xml:space="preserve">EPIC100063</t>
  </si>
  <si>
    <t xml:space="preserve">Kora Flanigan</t>
  </si>
  <si>
    <t xml:space="preserve">Vassili Wolffers</t>
  </si>
  <si>
    <t xml:space="preserve">EPIC100064</t>
  </si>
  <si>
    <t xml:space="preserve">Tamera Fawbert</t>
  </si>
  <si>
    <t xml:space="preserve">Loralie Vaskov</t>
  </si>
  <si>
    <t xml:space="preserve">EPIC100065</t>
  </si>
  <si>
    <t xml:space="preserve">Benoite Barnshaw</t>
  </si>
  <si>
    <t xml:space="preserve">Rriocard Althorpe</t>
  </si>
  <si>
    <t xml:space="preserve">EPIC100066</t>
  </si>
  <si>
    <t xml:space="preserve">Jonas Showte</t>
  </si>
  <si>
    <t xml:space="preserve">Ewell Filgate</t>
  </si>
  <si>
    <t xml:space="preserve">EPIC100067</t>
  </si>
  <si>
    <t xml:space="preserve">Feliza Flament</t>
  </si>
  <si>
    <t xml:space="preserve">Barb Boshere</t>
  </si>
  <si>
    <t xml:space="preserve">EPIC100068</t>
  </si>
  <si>
    <t xml:space="preserve">Orson Boles</t>
  </si>
  <si>
    <t xml:space="preserve">Hiram Poker</t>
  </si>
  <si>
    <t xml:space="preserve">EPIC100069</t>
  </si>
  <si>
    <t xml:space="preserve">Richie Cummings</t>
  </si>
  <si>
    <t xml:space="preserve">Delcina Lean</t>
  </si>
  <si>
    <t xml:space="preserve">EPIC100070</t>
  </si>
  <si>
    <t xml:space="preserve">Lucy Enrrico</t>
  </si>
  <si>
    <t xml:space="preserve">Theodosia Robichon</t>
  </si>
  <si>
    <t xml:space="preserve">EPIC100071</t>
  </si>
  <si>
    <t xml:space="preserve">Arlyne Boschmann</t>
  </si>
  <si>
    <t xml:space="preserve">Denice Coules</t>
  </si>
  <si>
    <t xml:space="preserve">EPIC100072</t>
  </si>
  <si>
    <t xml:space="preserve">Rhiamon Safell</t>
  </si>
  <si>
    <t xml:space="preserve">Rae Wroth</t>
  </si>
  <si>
    <t xml:space="preserve">EPIC100073</t>
  </si>
  <si>
    <t xml:space="preserve">Gregorius Peek</t>
  </si>
  <si>
    <t xml:space="preserve">Ethe Pawnsford</t>
  </si>
  <si>
    <t xml:space="preserve">EPIC100074</t>
  </si>
  <si>
    <t xml:space="preserve">Boyce Gaymer</t>
  </si>
  <si>
    <t xml:space="preserve">Debra Killiam</t>
  </si>
  <si>
    <t xml:space="preserve">EPIC100075</t>
  </si>
  <si>
    <t xml:space="preserve">Raviv Lernihan</t>
  </si>
  <si>
    <t xml:space="preserve">Billy Elloway</t>
  </si>
  <si>
    <t xml:space="preserve">EPIC100076</t>
  </si>
  <si>
    <t xml:space="preserve">Hadria Gores</t>
  </si>
  <si>
    <t xml:space="preserve">Korry Cahillane</t>
  </si>
  <si>
    <t xml:space="preserve">EPIC100077</t>
  </si>
  <si>
    <t xml:space="preserve">Lyndsie Munday</t>
  </si>
  <si>
    <t xml:space="preserve">Hermie Larham</t>
  </si>
  <si>
    <t xml:space="preserve">EPIC100078</t>
  </si>
  <si>
    <t xml:space="preserve">Camel Robinson</t>
  </si>
  <si>
    <t xml:space="preserve">Marilee Hitter</t>
  </si>
  <si>
    <t xml:space="preserve">EPIC100079</t>
  </si>
  <si>
    <t xml:space="preserve">Marlin Walby</t>
  </si>
  <si>
    <t xml:space="preserve">Robby Preedy</t>
  </si>
  <si>
    <t xml:space="preserve">EPIC100080</t>
  </si>
  <si>
    <t xml:space="preserve">Jeannine McMains</t>
  </si>
  <si>
    <t xml:space="preserve">Jada Plaister</t>
  </si>
  <si>
    <t xml:space="preserve">EPIC100081</t>
  </si>
  <si>
    <t xml:space="preserve">Hollis Renneke</t>
  </si>
  <si>
    <t xml:space="preserve">Nedda Dohr</t>
  </si>
  <si>
    <t xml:space="preserve">EPIC100082</t>
  </si>
  <si>
    <t xml:space="preserve">Meade Tucker</t>
  </si>
  <si>
    <t xml:space="preserve">Farica Wakely</t>
  </si>
  <si>
    <t xml:space="preserve">EPIC100083</t>
  </si>
  <si>
    <t xml:space="preserve">Clari Gladwish</t>
  </si>
  <si>
    <t xml:space="preserve">Sabine Eke</t>
  </si>
  <si>
    <t xml:space="preserve">EPIC100084</t>
  </si>
  <si>
    <t xml:space="preserve">Cybill Potticary</t>
  </si>
  <si>
    <t xml:space="preserve">Luigi Penwright</t>
  </si>
  <si>
    <t xml:space="preserve">EPIC100085</t>
  </si>
  <si>
    <t xml:space="preserve">Herbert Thornally</t>
  </si>
  <si>
    <t xml:space="preserve">Margeaux Loweth</t>
  </si>
  <si>
    <t xml:space="preserve">EPIC100086</t>
  </si>
  <si>
    <t xml:space="preserve">Tadeo Easton</t>
  </si>
  <si>
    <t xml:space="preserve">Rani Yakebovich</t>
  </si>
  <si>
    <t xml:space="preserve">EPIC100087</t>
  </si>
  <si>
    <t xml:space="preserve">Olia Toupe</t>
  </si>
  <si>
    <t xml:space="preserve">Hy Halahan</t>
  </si>
  <si>
    <t xml:space="preserve">EPIC100088</t>
  </si>
  <si>
    <t xml:space="preserve">Linn Ball</t>
  </si>
  <si>
    <t xml:space="preserve">Neely Klimov</t>
  </si>
  <si>
    <t xml:space="preserve">EPIC100089</t>
  </si>
  <si>
    <t xml:space="preserve">Merwin Speechly</t>
  </si>
  <si>
    <t xml:space="preserve">Doralynn MacDermott</t>
  </si>
  <si>
    <t xml:space="preserve">EPIC100090</t>
  </si>
  <si>
    <t xml:space="preserve">Heinrik Lawden</t>
  </si>
  <si>
    <t xml:space="preserve">Denni Thon</t>
  </si>
  <si>
    <t xml:space="preserve">EPIC100091</t>
  </si>
  <si>
    <t xml:space="preserve">Britni Beet</t>
  </si>
  <si>
    <t xml:space="preserve">Lesya Sidary</t>
  </si>
  <si>
    <t xml:space="preserve">EPIC100092</t>
  </si>
  <si>
    <t xml:space="preserve">Jacquenetta Goodere</t>
  </si>
  <si>
    <t xml:space="preserve">Tommi Seleway</t>
  </si>
  <si>
    <t xml:space="preserve">EPIC100093</t>
  </si>
  <si>
    <t xml:space="preserve">Jean Reichartz</t>
  </si>
  <si>
    <t xml:space="preserve">Jamie Blazej</t>
  </si>
  <si>
    <t xml:space="preserve">EPIC100094</t>
  </si>
  <si>
    <t xml:space="preserve">Ellswerth Rawlings</t>
  </si>
  <si>
    <t xml:space="preserve">Rheba Hortop</t>
  </si>
  <si>
    <t xml:space="preserve">EPIC100095</t>
  </si>
  <si>
    <t xml:space="preserve">Ranee Shannahan</t>
  </si>
  <si>
    <t xml:space="preserve">Chrissie Mordaunt</t>
  </si>
  <si>
    <t xml:space="preserve">EPIC100096</t>
  </si>
  <si>
    <t xml:space="preserve">Leigh Gerlts</t>
  </si>
  <si>
    <t xml:space="preserve">Winona Bassingham</t>
  </si>
  <si>
    <t xml:space="preserve">EPIC100097</t>
  </si>
  <si>
    <t xml:space="preserve">Ilka Swafield</t>
  </si>
  <si>
    <t xml:space="preserve">Jaime Boxhall</t>
  </si>
  <si>
    <t xml:space="preserve">EPIC100098</t>
  </si>
  <si>
    <t xml:space="preserve">Frederik Stubs</t>
  </si>
  <si>
    <t xml:space="preserve">Calley Saffell</t>
  </si>
  <si>
    <t xml:space="preserve">EPIC100099</t>
  </si>
  <si>
    <t xml:space="preserve">Winnifred Ivins</t>
  </si>
  <si>
    <t xml:space="preserve">Rickey Greene</t>
  </si>
  <si>
    <t xml:space="preserve">EPIC100100</t>
  </si>
  <si>
    <t xml:space="preserve">Ree Boodle</t>
  </si>
  <si>
    <t xml:space="preserve">Kimmy Hallt</t>
  </si>
  <si>
    <t xml:space="preserve">EPIC100101</t>
  </si>
  <si>
    <t xml:space="preserve">Worthy Beaby</t>
  </si>
  <si>
    <t xml:space="preserve">Amalee Brosel</t>
  </si>
  <si>
    <t xml:space="preserve">EPIC100102</t>
  </si>
  <si>
    <t xml:space="preserve">Melita Frape</t>
  </si>
  <si>
    <t xml:space="preserve">Camey Iliffe</t>
  </si>
  <si>
    <t xml:space="preserve">EPIC100103</t>
  </si>
  <si>
    <t xml:space="preserve">Quillan Varnals</t>
  </si>
  <si>
    <t xml:space="preserve">Alfy Hitzke</t>
  </si>
  <si>
    <t xml:space="preserve">EPIC100104</t>
  </si>
  <si>
    <t xml:space="preserve">Sanders Pernell</t>
  </si>
  <si>
    <t xml:space="preserve">Arv Behan</t>
  </si>
  <si>
    <t xml:space="preserve">EPIC100105</t>
  </si>
  <si>
    <t xml:space="preserve">Victoir Crean</t>
  </si>
  <si>
    <t xml:space="preserve">Tiphanie Tomaini</t>
  </si>
  <si>
    <t xml:space="preserve">EPIC100106</t>
  </si>
  <si>
    <t xml:space="preserve">Viviana Darker</t>
  </si>
  <si>
    <t xml:space="preserve">Gratia Borgnol</t>
  </si>
  <si>
    <t xml:space="preserve">EPIC100107</t>
  </si>
  <si>
    <t xml:space="preserve">Brooke Duckels</t>
  </si>
  <si>
    <t xml:space="preserve">Marlee Kentwell</t>
  </si>
  <si>
    <t xml:space="preserve">EPIC100108</t>
  </si>
  <si>
    <t xml:space="preserve">Ardenia Isakowicz</t>
  </si>
  <si>
    <t xml:space="preserve">Danny Chafer</t>
  </si>
  <si>
    <t xml:space="preserve">EPIC100109</t>
  </si>
  <si>
    <t xml:space="preserve">Murray Dittson</t>
  </si>
  <si>
    <t xml:space="preserve">Ronny Utteridge</t>
  </si>
  <si>
    <t xml:space="preserve">EPIC100110</t>
  </si>
  <si>
    <t xml:space="preserve">Lorain Clemmett</t>
  </si>
  <si>
    <t xml:space="preserve">Elke Keatch</t>
  </si>
  <si>
    <t xml:space="preserve">EPIC100111</t>
  </si>
  <si>
    <t xml:space="preserve">Randal Oehm</t>
  </si>
  <si>
    <t xml:space="preserve">Karina Semiras</t>
  </si>
  <si>
    <t xml:space="preserve">EPIC100112</t>
  </si>
  <si>
    <t xml:space="preserve">Vinnie Lawerence</t>
  </si>
  <si>
    <t xml:space="preserve">Jarrod Bunten</t>
  </si>
  <si>
    <t xml:space="preserve">EPIC100113</t>
  </si>
  <si>
    <t xml:space="preserve">Carolan Larkkem</t>
  </si>
  <si>
    <t xml:space="preserve">Judon Cogman</t>
  </si>
  <si>
    <t xml:space="preserve">EPIC100114</t>
  </si>
  <si>
    <t xml:space="preserve">Winnie Dossantos</t>
  </si>
  <si>
    <t xml:space="preserve">Ami Standring</t>
  </si>
  <si>
    <t xml:space="preserve">EPIC100115</t>
  </si>
  <si>
    <t xml:space="preserve">Katusha Denholm</t>
  </si>
  <si>
    <t xml:space="preserve">Gregor Cranch</t>
  </si>
  <si>
    <t xml:space="preserve">EPIC100116</t>
  </si>
  <si>
    <t xml:space="preserve">Linette Elies</t>
  </si>
  <si>
    <t xml:space="preserve">Ailsun Hadley</t>
  </si>
  <si>
    <t xml:space="preserve">EPIC100117</t>
  </si>
  <si>
    <t xml:space="preserve">Arie Lilion</t>
  </si>
  <si>
    <t xml:space="preserve">Theobald Cestard</t>
  </si>
  <si>
    <t xml:space="preserve">EPIC100118</t>
  </si>
  <si>
    <t xml:space="preserve">Roze Durrell</t>
  </si>
  <si>
    <t xml:space="preserve">Chauncey Antonsson</t>
  </si>
  <si>
    <t xml:space="preserve">EPIC100119</t>
  </si>
  <si>
    <t xml:space="preserve">Gottfried Balding</t>
  </si>
  <si>
    <t xml:space="preserve">Roosevelt Rummins</t>
  </si>
  <si>
    <t xml:space="preserve">EPIC100120</t>
  </si>
  <si>
    <t xml:space="preserve">See Bissill</t>
  </si>
  <si>
    <t xml:space="preserve">Zorina Braam</t>
  </si>
  <si>
    <t xml:space="preserve">EPIC100121</t>
  </si>
  <si>
    <t xml:space="preserve">Gordy Swadlen</t>
  </si>
  <si>
    <t xml:space="preserve">Cornelle Threader</t>
  </si>
  <si>
    <t xml:space="preserve">EPIC100122</t>
  </si>
  <si>
    <t xml:space="preserve">Jerry Karlicek</t>
  </si>
  <si>
    <t xml:space="preserve">Steve Ferbrache</t>
  </si>
  <si>
    <t xml:space="preserve">EPIC100123</t>
  </si>
  <si>
    <t xml:space="preserve">Francesco Sandbatch</t>
  </si>
  <si>
    <t xml:space="preserve">Giralda Lascelles</t>
  </si>
  <si>
    <t xml:space="preserve">EPIC100124</t>
  </si>
  <si>
    <t xml:space="preserve">Ynez Wilcocke</t>
  </si>
  <si>
    <t xml:space="preserve">Maren Mariot</t>
  </si>
  <si>
    <t xml:space="preserve">EPIC100125</t>
  </si>
  <si>
    <t xml:space="preserve">Fletcher Haborn</t>
  </si>
  <si>
    <t xml:space="preserve">Lorant Nurdin</t>
  </si>
  <si>
    <t xml:space="preserve">EPIC100126</t>
  </si>
  <si>
    <t xml:space="preserve">Lora Crane</t>
  </si>
  <si>
    <t xml:space="preserve">Horatius Syrad</t>
  </si>
  <si>
    <t xml:space="preserve">EPIC100127</t>
  </si>
  <si>
    <t xml:space="preserve">Meyer Torbeck</t>
  </si>
  <si>
    <t xml:space="preserve">Michale Jansey</t>
  </si>
  <si>
    <t xml:space="preserve">EPIC100128</t>
  </si>
  <si>
    <t xml:space="preserve">Carline Skarman</t>
  </si>
  <si>
    <t xml:space="preserve">Marianne Peschmann</t>
  </si>
  <si>
    <t xml:space="preserve">EPIC100129</t>
  </si>
  <si>
    <t xml:space="preserve">Dorise Carney</t>
  </si>
  <si>
    <t xml:space="preserve">Natale Cheevers</t>
  </si>
  <si>
    <t xml:space="preserve">EPIC100130</t>
  </si>
  <si>
    <t xml:space="preserve">Michele Menendes</t>
  </si>
  <si>
    <t xml:space="preserve">Micheal Kirwin</t>
  </si>
  <si>
    <t xml:space="preserve">EPIC100131</t>
  </si>
  <si>
    <t xml:space="preserve">Shawn Savary</t>
  </si>
  <si>
    <t xml:space="preserve">Barnard Barthram</t>
  </si>
  <si>
    <t xml:space="preserve">EPIC100132</t>
  </si>
  <si>
    <t xml:space="preserve">Jaye Penticoot</t>
  </si>
  <si>
    <t xml:space="preserve">Maris Yendall</t>
  </si>
  <si>
    <t xml:space="preserve">EPIC100133</t>
  </si>
  <si>
    <t xml:space="preserve">Hersh Muro</t>
  </si>
  <si>
    <t xml:space="preserve">Jorie Coldbath</t>
  </si>
  <si>
    <t xml:space="preserve">EPIC100134</t>
  </si>
  <si>
    <t xml:space="preserve">Sean Klouz</t>
  </si>
  <si>
    <t xml:space="preserve">Belvia Stockell</t>
  </si>
  <si>
    <t xml:space="preserve">EPIC100135</t>
  </si>
  <si>
    <t xml:space="preserve">Sheeree Kubicka</t>
  </si>
  <si>
    <t xml:space="preserve">Lannie Hartus</t>
  </si>
  <si>
    <t xml:space="preserve">EPIC100136</t>
  </si>
  <si>
    <t xml:space="preserve">Creight Tollow</t>
  </si>
  <si>
    <t xml:space="preserve">Jordana Ruppelin</t>
  </si>
  <si>
    <t xml:space="preserve">EPIC100137</t>
  </si>
  <si>
    <t xml:space="preserve">Mimi Olrenshaw</t>
  </si>
  <si>
    <t xml:space="preserve">Randal Cheverell</t>
  </si>
  <si>
    <t xml:space="preserve">EPIC100138</t>
  </si>
  <si>
    <t xml:space="preserve">Roseanna Colebrook</t>
  </si>
  <si>
    <t xml:space="preserve">Carmine Lowensohn</t>
  </si>
  <si>
    <t xml:space="preserve">EPIC100139</t>
  </si>
  <si>
    <t xml:space="preserve">Shena Coatman</t>
  </si>
  <si>
    <t xml:space="preserve">Meryl Kiely</t>
  </si>
  <si>
    <t xml:space="preserve">EPIC100140</t>
  </si>
  <si>
    <t xml:space="preserve">Carol Stitcher</t>
  </si>
  <si>
    <t xml:space="preserve">Dolley Abad</t>
  </si>
  <si>
    <t xml:space="preserve">EPIC100141</t>
  </si>
  <si>
    <t xml:space="preserve">Mia Hebborne</t>
  </si>
  <si>
    <t xml:space="preserve">Sloan Ferreiro</t>
  </si>
  <si>
    <t xml:space="preserve">EPIC100142</t>
  </si>
  <si>
    <t xml:space="preserve">Johnnie Bonellie</t>
  </si>
  <si>
    <t xml:space="preserve">Elicia Fattorini</t>
  </si>
  <si>
    <t xml:space="preserve">EPIC100143</t>
  </si>
  <si>
    <t xml:space="preserve">Hillary Eustes</t>
  </si>
  <si>
    <t xml:space="preserve">Ade Claige</t>
  </si>
  <si>
    <t xml:space="preserve">EPIC100144</t>
  </si>
  <si>
    <t xml:space="preserve">Sky Cheavin</t>
  </si>
  <si>
    <t xml:space="preserve">Hendrik Tallyn</t>
  </si>
  <si>
    <t xml:space="preserve">EPIC100145</t>
  </si>
  <si>
    <t xml:space="preserve">Chevalier Panchen</t>
  </si>
  <si>
    <t xml:space="preserve">Gwendolin McNamee</t>
  </si>
  <si>
    <t xml:space="preserve">EPIC100146</t>
  </si>
  <si>
    <t xml:space="preserve">Robers Whordley</t>
  </si>
  <si>
    <t xml:space="preserve">Mariette Kellart</t>
  </si>
  <si>
    <t xml:space="preserve">EPIC100147</t>
  </si>
  <si>
    <t xml:space="preserve">Benedikt Jezzard</t>
  </si>
  <si>
    <t xml:space="preserve">Aeriell Grzes</t>
  </si>
  <si>
    <t xml:space="preserve">EPIC100148</t>
  </si>
  <si>
    <t xml:space="preserve">Jacqueline Rickersey</t>
  </si>
  <si>
    <t xml:space="preserve">Ondrea Glas</t>
  </si>
  <si>
    <t xml:space="preserve">EPIC100149</t>
  </si>
  <si>
    <t xml:space="preserve">Rustin Kynett</t>
  </si>
  <si>
    <t xml:space="preserve">Cooper Sprake</t>
  </si>
  <si>
    <t xml:space="preserve">EPIC100150</t>
  </si>
  <si>
    <t xml:space="preserve">Zonnya Dhenin</t>
  </si>
  <si>
    <t xml:space="preserve">Gennifer Pilsworth</t>
  </si>
  <si>
    <t xml:space="preserve">EPIC100151</t>
  </si>
  <si>
    <t xml:space="preserve">Carmelina Labrone</t>
  </si>
  <si>
    <t xml:space="preserve">Bram Thirst</t>
  </si>
  <si>
    <t xml:space="preserve">EPIC100152</t>
  </si>
  <si>
    <t xml:space="preserve">Agneta Slipper</t>
  </si>
  <si>
    <t xml:space="preserve">Karlis McLeese</t>
  </si>
  <si>
    <t xml:space="preserve">EPIC100153</t>
  </si>
  <si>
    <t xml:space="preserve">Roxanna Conman</t>
  </si>
  <si>
    <t xml:space="preserve">Caryl Mantle</t>
  </si>
  <si>
    <t xml:space="preserve">EPIC100154</t>
  </si>
  <si>
    <t xml:space="preserve">Vilma Laxe</t>
  </si>
  <si>
    <t xml:space="preserve">Kizzee Seleway</t>
  </si>
  <si>
    <t xml:space="preserve">EPIC100155</t>
  </si>
  <si>
    <t xml:space="preserve">Rosabelle De Ambrosi</t>
  </si>
  <si>
    <t xml:space="preserve">Flore Guerrero</t>
  </si>
  <si>
    <t xml:space="preserve">EPIC100156</t>
  </si>
  <si>
    <t xml:space="preserve">Lenora Assad</t>
  </si>
  <si>
    <t xml:space="preserve">Marthena Simonato</t>
  </si>
  <si>
    <t xml:space="preserve">EPIC100157</t>
  </si>
  <si>
    <t xml:space="preserve">Farra Beddoes</t>
  </si>
  <si>
    <t xml:space="preserve">Pierson McComiskie</t>
  </si>
  <si>
    <t xml:space="preserve">EPIC100158</t>
  </si>
  <si>
    <t xml:space="preserve">Evangelina Crossley</t>
  </si>
  <si>
    <t xml:space="preserve">Odelinda Drayton</t>
  </si>
  <si>
    <t xml:space="preserve">EPIC100159</t>
  </si>
  <si>
    <t xml:space="preserve">Rutter Pavey</t>
  </si>
  <si>
    <t xml:space="preserve">Walt Goodenough</t>
  </si>
  <si>
    <t xml:space="preserve">EPIC100160</t>
  </si>
  <si>
    <t xml:space="preserve">Corbie Sitlinton</t>
  </si>
  <si>
    <t xml:space="preserve">Darsey Janata</t>
  </si>
  <si>
    <t xml:space="preserve">EPIC100161</t>
  </si>
  <si>
    <t xml:space="preserve">Guglielmo Greyes</t>
  </si>
  <si>
    <t xml:space="preserve">Oswell Drydale</t>
  </si>
  <si>
    <t xml:space="preserve">EPIC100162</t>
  </si>
  <si>
    <t xml:space="preserve">Tammy Stennet</t>
  </si>
  <si>
    <t xml:space="preserve">Thornton Rostern</t>
  </si>
  <si>
    <t xml:space="preserve">EPIC100163</t>
  </si>
  <si>
    <t xml:space="preserve">Ingram Beeken</t>
  </si>
  <si>
    <t xml:space="preserve">Tye Shepard</t>
  </si>
  <si>
    <t xml:space="preserve">EPIC100164</t>
  </si>
  <si>
    <t xml:space="preserve">Priscella Flatt</t>
  </si>
  <si>
    <t xml:space="preserve">Moore Zupone</t>
  </si>
  <si>
    <t xml:space="preserve">EPIC100165</t>
  </si>
  <si>
    <t xml:space="preserve">Margarette Parlor</t>
  </si>
  <si>
    <t xml:space="preserve">Alphonso Bartoszewski</t>
  </si>
  <si>
    <t xml:space="preserve">EPIC100166</t>
  </si>
  <si>
    <t xml:space="preserve">Amy Hearson</t>
  </si>
  <si>
    <t xml:space="preserve">Garrott Sailor</t>
  </si>
  <si>
    <t xml:space="preserve">EPIC100167</t>
  </si>
  <si>
    <t xml:space="preserve">Allyce Lucian</t>
  </si>
  <si>
    <t xml:space="preserve">Jaye Petkovic</t>
  </si>
  <si>
    <t xml:space="preserve">EPIC100168</t>
  </si>
  <si>
    <t xml:space="preserve">Rozalin Hulke</t>
  </si>
  <si>
    <t xml:space="preserve">Simone Peevor</t>
  </si>
  <si>
    <t xml:space="preserve">EPIC100169</t>
  </si>
  <si>
    <t xml:space="preserve">Ferguson Crepel</t>
  </si>
  <si>
    <t xml:space="preserve">Whit Briers</t>
  </si>
  <si>
    <t xml:space="preserve">EPIC100170</t>
  </si>
  <si>
    <t xml:space="preserve">Sabina Bluschke</t>
  </si>
  <si>
    <t xml:space="preserve">Josias Nizet</t>
  </si>
  <si>
    <t xml:space="preserve">EPIC100171</t>
  </si>
  <si>
    <t xml:space="preserve">Flora Crosswaite</t>
  </si>
  <si>
    <t xml:space="preserve">Pierre Beart</t>
  </si>
  <si>
    <t xml:space="preserve">EPIC100172</t>
  </si>
  <si>
    <t xml:space="preserve">Igor Torresi</t>
  </si>
  <si>
    <t xml:space="preserve">Wait Piris</t>
  </si>
  <si>
    <t xml:space="preserve">EPIC100173</t>
  </si>
  <si>
    <t xml:space="preserve">Coleman Sharer</t>
  </si>
  <si>
    <t xml:space="preserve">Kean Mundford</t>
  </si>
  <si>
    <t xml:space="preserve">EPIC100174</t>
  </si>
  <si>
    <t xml:space="preserve">Davie Matusovsky</t>
  </si>
  <si>
    <t xml:space="preserve">Maure Wilmore</t>
  </si>
  <si>
    <t xml:space="preserve">EPIC100175</t>
  </si>
  <si>
    <t xml:space="preserve">Lukas MacCafferky</t>
  </si>
  <si>
    <t xml:space="preserve">Schuyler Giurio</t>
  </si>
  <si>
    <t xml:space="preserve">EPIC100176</t>
  </si>
  <si>
    <t xml:space="preserve">Kaleb Hinrich</t>
  </si>
  <si>
    <t xml:space="preserve">Glad Finney</t>
  </si>
  <si>
    <t xml:space="preserve">EPIC100177</t>
  </si>
  <si>
    <t xml:space="preserve">Carolynn Meyer</t>
  </si>
  <si>
    <t xml:space="preserve">Carmine Hugin</t>
  </si>
  <si>
    <t xml:space="preserve">EPIC100178</t>
  </si>
  <si>
    <t xml:space="preserve">Charleen Baroch</t>
  </si>
  <si>
    <t xml:space="preserve">Tannie Llywarch</t>
  </si>
  <si>
    <t xml:space="preserve">EPIC100179</t>
  </si>
  <si>
    <t xml:space="preserve">Daniele Hayford</t>
  </si>
  <si>
    <t xml:space="preserve">Val Franchioni</t>
  </si>
  <si>
    <t xml:space="preserve">EPIC100180</t>
  </si>
  <si>
    <t xml:space="preserve">Denver Portch</t>
  </si>
  <si>
    <t xml:space="preserve">Brooke Keasy</t>
  </si>
  <si>
    <t xml:space="preserve">EPIC100181</t>
  </si>
  <si>
    <t xml:space="preserve">Jaynell Cuerdall</t>
  </si>
  <si>
    <t xml:space="preserve">Iorgos Chapier</t>
  </si>
  <si>
    <t xml:space="preserve">EPIC100182</t>
  </si>
  <si>
    <t xml:space="preserve">Olvan Brammall</t>
  </si>
  <si>
    <t xml:space="preserve">Loleta McGorley</t>
  </si>
  <si>
    <t xml:space="preserve">EPIC100183</t>
  </si>
  <si>
    <t xml:space="preserve">Appolonia Rudland</t>
  </si>
  <si>
    <t xml:space="preserve">Lib Vany</t>
  </si>
  <si>
    <t xml:space="preserve">EPIC100184</t>
  </si>
  <si>
    <t xml:space="preserve">Nikki Wilkowski</t>
  </si>
  <si>
    <t xml:space="preserve">Tiffany Astles</t>
  </si>
  <si>
    <t xml:space="preserve">EPIC100185</t>
  </si>
  <si>
    <t xml:space="preserve">Sunshine Deeny</t>
  </si>
  <si>
    <t xml:space="preserve">Teddie Martinets</t>
  </si>
  <si>
    <t xml:space="preserve">EPIC100186</t>
  </si>
  <si>
    <t xml:space="preserve">Astra Rivaland</t>
  </si>
  <si>
    <t xml:space="preserve">Pyotr Bottleson</t>
  </si>
  <si>
    <t xml:space="preserve">EPIC100187</t>
  </si>
  <si>
    <t xml:space="preserve">Fiorenze Etoile</t>
  </si>
  <si>
    <t xml:space="preserve">Paolo Haggart</t>
  </si>
  <si>
    <t xml:space="preserve">EPIC100188</t>
  </si>
  <si>
    <t xml:space="preserve">Bartholomew Budibent</t>
  </si>
  <si>
    <t xml:space="preserve">Sande Varley</t>
  </si>
  <si>
    <t xml:space="preserve">EPIC100189</t>
  </si>
  <si>
    <t xml:space="preserve">Aurthur Furphy</t>
  </si>
  <si>
    <t xml:space="preserve">Wash Panner</t>
  </si>
  <si>
    <t xml:space="preserve">EPIC100190</t>
  </si>
  <si>
    <t xml:space="preserve">Paula Gold</t>
  </si>
  <si>
    <t xml:space="preserve">Tracie Estabrook</t>
  </si>
  <si>
    <t xml:space="preserve">EPIC100191</t>
  </si>
  <si>
    <t xml:space="preserve">Trudey Dauncey</t>
  </si>
  <si>
    <t xml:space="preserve">Emera Beckworth</t>
  </si>
  <si>
    <t xml:space="preserve">EPIC100192</t>
  </si>
  <si>
    <t xml:space="preserve">Lilith Sone</t>
  </si>
  <si>
    <t xml:space="preserve">Antonius Attridge</t>
  </si>
  <si>
    <t xml:space="preserve">EPIC100193</t>
  </si>
  <si>
    <t xml:space="preserve">Sherilyn O'Kane</t>
  </si>
  <si>
    <t xml:space="preserve">Leicester Bracegirdle</t>
  </si>
  <si>
    <t xml:space="preserve">EPIC100194</t>
  </si>
  <si>
    <t xml:space="preserve">Marcelia Mathonnet</t>
  </si>
  <si>
    <t xml:space="preserve">Agneta Meneely</t>
  </si>
  <si>
    <t xml:space="preserve">EPIC100195</t>
  </si>
  <si>
    <t xml:space="preserve">Trip Warman</t>
  </si>
  <si>
    <t xml:space="preserve">Teirtza Glyn</t>
  </si>
  <si>
    <t xml:space="preserve">EPIC100196</t>
  </si>
  <si>
    <t xml:space="preserve">Dione Olivari</t>
  </si>
  <si>
    <t xml:space="preserve">Omar Hastings</t>
  </si>
  <si>
    <t xml:space="preserve">EPIC100197</t>
  </si>
  <si>
    <t xml:space="preserve">Rube Nicol</t>
  </si>
  <si>
    <t xml:space="preserve">Peg Scotney</t>
  </si>
  <si>
    <t xml:space="preserve">EPIC100198</t>
  </si>
  <si>
    <t xml:space="preserve">Jo Shipsey</t>
  </si>
  <si>
    <t xml:space="preserve">Shirlene Revans</t>
  </si>
  <si>
    <t xml:space="preserve">EPIC100199</t>
  </si>
  <si>
    <t xml:space="preserve">Sully Matfield</t>
  </si>
  <si>
    <t xml:space="preserve">Brant Joncic</t>
  </si>
  <si>
    <t xml:space="preserve">EPIC100200</t>
  </si>
  <si>
    <t xml:space="preserve">Emera Reuble</t>
  </si>
  <si>
    <t xml:space="preserve">Crista Coggill</t>
  </si>
  <si>
    <t xml:space="preserve">EPIC100201</t>
  </si>
  <si>
    <t xml:space="preserve">Bevan Sheddan</t>
  </si>
  <si>
    <t xml:space="preserve">Ruy Troyes</t>
  </si>
  <si>
    <t xml:space="preserve">EPIC100202</t>
  </si>
  <si>
    <t xml:space="preserve">Harli Avrasin</t>
  </si>
  <si>
    <t xml:space="preserve">Loria Waddicor</t>
  </si>
  <si>
    <t xml:space="preserve">EPIC100203</t>
  </si>
  <si>
    <t xml:space="preserve">Kinnie Felderer</t>
  </si>
  <si>
    <t xml:space="preserve">Hersch Kretchmer</t>
  </si>
  <si>
    <t xml:space="preserve">EPIC100204</t>
  </si>
  <si>
    <t xml:space="preserve">Hagen Ardling</t>
  </si>
  <si>
    <t xml:space="preserve">Dode Le Gall</t>
  </si>
  <si>
    <t xml:space="preserve">EPIC100205</t>
  </si>
  <si>
    <t xml:space="preserve">Finlay Goadbie</t>
  </si>
  <si>
    <t xml:space="preserve">Brook Cheake</t>
  </si>
  <si>
    <t xml:space="preserve">EPIC100206</t>
  </si>
  <si>
    <t xml:space="preserve">Ev McPeice</t>
  </si>
  <si>
    <t xml:space="preserve">Georgia Simms</t>
  </si>
  <si>
    <t xml:space="preserve">EPIC100207</t>
  </si>
  <si>
    <t xml:space="preserve">Jorrie Goulstone</t>
  </si>
  <si>
    <t xml:space="preserve">Lucias Paolo</t>
  </si>
  <si>
    <t xml:space="preserve">EPIC100208</t>
  </si>
  <si>
    <t xml:space="preserve">Iver Dorr</t>
  </si>
  <si>
    <t xml:space="preserve">Gilburt McAnalley</t>
  </si>
  <si>
    <t xml:space="preserve">EPIC100209</t>
  </si>
  <si>
    <t xml:space="preserve">Dominick Rapsey</t>
  </si>
  <si>
    <t xml:space="preserve">Fae Mackiewicz</t>
  </si>
  <si>
    <t xml:space="preserve">EPIC100210</t>
  </si>
  <si>
    <t xml:space="preserve">Emmalyn Lempel</t>
  </si>
  <si>
    <t xml:space="preserve">Janot Tregona</t>
  </si>
  <si>
    <t xml:space="preserve">EPIC100211</t>
  </si>
  <si>
    <t xml:space="preserve">Friedrich Radish</t>
  </si>
  <si>
    <t xml:space="preserve">Marc Blackborn</t>
  </si>
  <si>
    <t xml:space="preserve">EPIC100212</t>
  </si>
  <si>
    <t xml:space="preserve">Oralee Bunney</t>
  </si>
  <si>
    <t xml:space="preserve">Richart Seager</t>
  </si>
  <si>
    <t xml:space="preserve">EPIC100213</t>
  </si>
  <si>
    <t xml:space="preserve">Agnola Serraillier</t>
  </si>
  <si>
    <t xml:space="preserve">Stormie Broggio</t>
  </si>
  <si>
    <t xml:space="preserve">EPIC100214</t>
  </si>
  <si>
    <t xml:space="preserve">Luis Dreier</t>
  </si>
  <si>
    <t xml:space="preserve">Rossie Bartaletti</t>
  </si>
  <si>
    <t xml:space="preserve">EPIC100215</t>
  </si>
  <si>
    <t xml:space="preserve">Zacharias Dalgarnocht</t>
  </si>
  <si>
    <t xml:space="preserve">Gamaliel Bellingham</t>
  </si>
  <si>
    <t xml:space="preserve">EPIC100216</t>
  </si>
  <si>
    <t xml:space="preserve">Shaine Hallett</t>
  </si>
  <si>
    <t xml:space="preserve">Dreddy Champney</t>
  </si>
  <si>
    <t xml:space="preserve">EPIC100217</t>
  </si>
  <si>
    <t xml:space="preserve">Barbette Elsy</t>
  </si>
  <si>
    <t xml:space="preserve">Gothart Corker</t>
  </si>
  <si>
    <t xml:space="preserve">EPIC100218</t>
  </si>
  <si>
    <t xml:space="preserve">Alma Levens</t>
  </si>
  <si>
    <t xml:space="preserve">Karol Robyns</t>
  </si>
  <si>
    <t xml:space="preserve">EPIC100219</t>
  </si>
  <si>
    <t xml:space="preserve">Torr Askew</t>
  </si>
  <si>
    <t xml:space="preserve">Georgine Buckney</t>
  </si>
  <si>
    <t xml:space="preserve">EPIC100220</t>
  </si>
  <si>
    <t xml:space="preserve">Evania Barbisch</t>
  </si>
  <si>
    <t xml:space="preserve">Blithe Oddy</t>
  </si>
  <si>
    <t xml:space="preserve">EPIC100221</t>
  </si>
  <si>
    <t xml:space="preserve">Pascal Daleman</t>
  </si>
  <si>
    <t xml:space="preserve">Kyla Edwardes</t>
  </si>
  <si>
    <t xml:space="preserve">EPIC100222</t>
  </si>
  <si>
    <t xml:space="preserve">Engelbert Boorer</t>
  </si>
  <si>
    <t xml:space="preserve">Collete Blabey</t>
  </si>
  <si>
    <t xml:space="preserve">EPIC100223</t>
  </si>
  <si>
    <t xml:space="preserve">Noreen Simeons</t>
  </si>
  <si>
    <t xml:space="preserve">Benetta Yedall</t>
  </si>
  <si>
    <t xml:space="preserve">EPIC100224</t>
  </si>
  <si>
    <t xml:space="preserve">Renato Gorgen</t>
  </si>
  <si>
    <t xml:space="preserve">Rossy Marlen</t>
  </si>
  <si>
    <t xml:space="preserve">EPIC100225</t>
  </si>
  <si>
    <t xml:space="preserve">Wilburt Cobleigh</t>
  </si>
  <si>
    <t xml:space="preserve">Marrissa Coombs</t>
  </si>
  <si>
    <t xml:space="preserve">EPIC100226</t>
  </si>
  <si>
    <t xml:space="preserve">Reiko Gueinn</t>
  </si>
  <si>
    <t xml:space="preserve">Waldemar Truett</t>
  </si>
  <si>
    <t xml:space="preserve">EPIC100227</t>
  </si>
  <si>
    <t xml:space="preserve">Miriam Lawey</t>
  </si>
  <si>
    <t xml:space="preserve">Bernadette Mumford</t>
  </si>
  <si>
    <t xml:space="preserve">EPIC100228</t>
  </si>
  <si>
    <t xml:space="preserve">Celia Edworthie</t>
  </si>
  <si>
    <t xml:space="preserve">Gustav Lepere</t>
  </si>
  <si>
    <t xml:space="preserve">EPIC100229</t>
  </si>
  <si>
    <t xml:space="preserve">Giraldo Maddox</t>
  </si>
  <si>
    <t xml:space="preserve">Robinetta Murthwaite</t>
  </si>
  <si>
    <t xml:space="preserve">EPIC100230</t>
  </si>
  <si>
    <t xml:space="preserve">Valentine Brothwood</t>
  </si>
  <si>
    <t xml:space="preserve">Candie Wilkie</t>
  </si>
  <si>
    <t xml:space="preserve">EPIC100231</t>
  </si>
  <si>
    <t xml:space="preserve">Alison Courtin</t>
  </si>
  <si>
    <t xml:space="preserve">Ervin Vigers</t>
  </si>
  <si>
    <t xml:space="preserve">EPIC100232</t>
  </si>
  <si>
    <t xml:space="preserve">Berenice Borris</t>
  </si>
  <si>
    <t xml:space="preserve">Haydon Vevers</t>
  </si>
  <si>
    <t xml:space="preserve">EPIC100233</t>
  </si>
  <si>
    <t xml:space="preserve">Sullivan Schroeder</t>
  </si>
  <si>
    <t xml:space="preserve">Perkin Frankcombe</t>
  </si>
  <si>
    <t xml:space="preserve">EPIC100234</t>
  </si>
  <si>
    <t xml:space="preserve">Valry Pettet</t>
  </si>
  <si>
    <t xml:space="preserve">Darby Ivushkin</t>
  </si>
  <si>
    <t xml:space="preserve">EPIC100235</t>
  </si>
  <si>
    <t xml:space="preserve">Janelle Doudney</t>
  </si>
  <si>
    <t xml:space="preserve">Haskell Schneidar</t>
  </si>
  <si>
    <t xml:space="preserve">EPIC100236</t>
  </si>
  <si>
    <t xml:space="preserve">Eleanor Danilchev</t>
  </si>
  <si>
    <t xml:space="preserve">Velma Bowler</t>
  </si>
  <si>
    <t xml:space="preserve">EPIC100237</t>
  </si>
  <si>
    <t xml:space="preserve">Clemmy Lassell</t>
  </si>
  <si>
    <t xml:space="preserve">Gisella Hawler</t>
  </si>
  <si>
    <t xml:space="preserve">EPIC100238</t>
  </si>
  <si>
    <t xml:space="preserve">Aleksandr Cale</t>
  </si>
  <si>
    <t xml:space="preserve">Wilbert Plank</t>
  </si>
  <si>
    <t xml:space="preserve">EPIC100239</t>
  </si>
  <si>
    <t xml:space="preserve">Ingunna McKenzie</t>
  </si>
  <si>
    <t xml:space="preserve">Eleanora Eskell</t>
  </si>
  <si>
    <t xml:space="preserve">EPIC100240</t>
  </si>
  <si>
    <t xml:space="preserve">Mae Trattles</t>
  </si>
  <si>
    <t xml:space="preserve">Joey Hovie</t>
  </si>
  <si>
    <t xml:space="preserve">EPIC100241</t>
  </si>
  <si>
    <t xml:space="preserve">Gilligan Artin</t>
  </si>
  <si>
    <t xml:space="preserve">Maryanna Yoselevitch</t>
  </si>
  <si>
    <t xml:space="preserve">EPIC100242</t>
  </si>
  <si>
    <t xml:space="preserve">Maddy Meadows</t>
  </si>
  <si>
    <t xml:space="preserve">Flori Dewsnap</t>
  </si>
  <si>
    <t xml:space="preserve">EPIC100243</t>
  </si>
  <si>
    <t xml:space="preserve">Hendrik Beagrie</t>
  </si>
  <si>
    <t xml:space="preserve">Bibi Attrie</t>
  </si>
  <si>
    <t xml:space="preserve">EPIC100244</t>
  </si>
  <si>
    <t xml:space="preserve">Deloria Rolfi</t>
  </si>
  <si>
    <t xml:space="preserve">Ashby Kenyam</t>
  </si>
  <si>
    <t xml:space="preserve">EPIC100245</t>
  </si>
  <si>
    <t xml:space="preserve">Amber Powney</t>
  </si>
  <si>
    <t xml:space="preserve">Guthrey Agett</t>
  </si>
  <si>
    <t xml:space="preserve">EPIC100246</t>
  </si>
  <si>
    <t xml:space="preserve">Casar Rosenstengel</t>
  </si>
  <si>
    <t xml:space="preserve">Holly McRobb</t>
  </si>
  <si>
    <t xml:space="preserve">EPIC100247</t>
  </si>
  <si>
    <t xml:space="preserve">Libbie Tottman</t>
  </si>
  <si>
    <t xml:space="preserve">Rudiger Govini</t>
  </si>
  <si>
    <t xml:space="preserve">EPIC100248</t>
  </si>
  <si>
    <t xml:space="preserve">Dyann Gaytor</t>
  </si>
  <si>
    <t xml:space="preserve">Crawford Helsby</t>
  </si>
  <si>
    <t xml:space="preserve">EPIC100249</t>
  </si>
  <si>
    <t xml:space="preserve">Nichole Ragbourne</t>
  </si>
  <si>
    <t xml:space="preserve">Mervin Pyecroft</t>
  </si>
  <si>
    <t xml:space="preserve">EPIC100250</t>
  </si>
  <si>
    <t xml:space="preserve">Gertrud Epsley</t>
  </si>
  <si>
    <t xml:space="preserve">Arel Siney</t>
  </si>
  <si>
    <t xml:space="preserve">EPIC100251</t>
  </si>
  <si>
    <t xml:space="preserve">Garald Wareing</t>
  </si>
  <si>
    <t xml:space="preserve">Virginie Riggoll</t>
  </si>
  <si>
    <t xml:space="preserve">EPIC100252</t>
  </si>
  <si>
    <t xml:space="preserve">Wolfgang Artz</t>
  </si>
  <si>
    <t xml:space="preserve">Nestor Preddle</t>
  </si>
  <si>
    <t xml:space="preserve">EPIC100253</t>
  </si>
  <si>
    <t xml:space="preserve">Reinaldos Toffetto</t>
  </si>
  <si>
    <t xml:space="preserve">Clemmy Lacey</t>
  </si>
  <si>
    <t xml:space="preserve">EPIC100254</t>
  </si>
  <si>
    <t xml:space="preserve">Eliza Rubinovici</t>
  </si>
  <si>
    <t xml:space="preserve">Audi Hunnisett</t>
  </si>
  <si>
    <t xml:space="preserve">EPIC100255</t>
  </si>
  <si>
    <t xml:space="preserve">Nathalia Cutler</t>
  </si>
  <si>
    <t xml:space="preserve">Maribelle Manon</t>
  </si>
  <si>
    <t xml:space="preserve">EPIC100256</t>
  </si>
  <si>
    <t xml:space="preserve">Wendeline Hawley</t>
  </si>
  <si>
    <t xml:space="preserve">Rickie Marzellano</t>
  </si>
  <si>
    <t xml:space="preserve">EPIC100257</t>
  </si>
  <si>
    <t xml:space="preserve">Harwell Rootham</t>
  </si>
  <si>
    <t xml:space="preserve">Joellyn Coopman</t>
  </si>
  <si>
    <t xml:space="preserve">EPIC100258</t>
  </si>
  <si>
    <t xml:space="preserve">Merla Griswaite</t>
  </si>
  <si>
    <t xml:space="preserve">Concordia Charkham</t>
  </si>
  <si>
    <t xml:space="preserve">EPIC100259</t>
  </si>
  <si>
    <t xml:space="preserve">Fax Chicchelli</t>
  </si>
  <si>
    <t xml:space="preserve">Amie Hrycek</t>
  </si>
  <si>
    <t xml:space="preserve">EPIC100260</t>
  </si>
  <si>
    <t xml:space="preserve">Pavia Jencken</t>
  </si>
  <si>
    <t xml:space="preserve">Ingemar Adicot</t>
  </si>
  <si>
    <t xml:space="preserve">EPIC100261</t>
  </si>
  <si>
    <t xml:space="preserve">Hedvige Copcott</t>
  </si>
  <si>
    <t xml:space="preserve">Vale Bradshaw</t>
  </si>
  <si>
    <t xml:space="preserve">EPIC100262</t>
  </si>
  <si>
    <t xml:space="preserve">Brana Downage</t>
  </si>
  <si>
    <t xml:space="preserve">Prissie Casewell</t>
  </si>
  <si>
    <t xml:space="preserve">EPIC100263</t>
  </si>
  <si>
    <t xml:space="preserve">Cecile Benoist</t>
  </si>
  <si>
    <t xml:space="preserve">Humphrey Shorland</t>
  </si>
  <si>
    <t xml:space="preserve">EPIC100264</t>
  </si>
  <si>
    <t xml:space="preserve">Bartholomeus Campling</t>
  </si>
  <si>
    <t xml:space="preserve">Rancell Sparshatt</t>
  </si>
  <si>
    <t xml:space="preserve">EPIC100265</t>
  </si>
  <si>
    <t xml:space="preserve">Bennett Brabon</t>
  </si>
  <si>
    <t xml:space="preserve">Bryn Jakubovsky</t>
  </si>
  <si>
    <t xml:space="preserve">EPIC100266</t>
  </si>
  <si>
    <t xml:space="preserve">Stanislaus Story</t>
  </si>
  <si>
    <t xml:space="preserve">Latia Camoletto</t>
  </si>
  <si>
    <t xml:space="preserve">EPIC100267</t>
  </si>
  <si>
    <t xml:space="preserve">Lori Auchterlony</t>
  </si>
  <si>
    <t xml:space="preserve">Sada Brierley</t>
  </si>
  <si>
    <t xml:space="preserve">EPIC100268</t>
  </si>
  <si>
    <t xml:space="preserve">Harwell Brumwell</t>
  </si>
  <si>
    <t xml:space="preserve">Nonnah Layman</t>
  </si>
  <si>
    <t xml:space="preserve">EPIC100269</t>
  </si>
  <si>
    <t xml:space="preserve">Fancy Le Surf</t>
  </si>
  <si>
    <t xml:space="preserve">Chris Huetson</t>
  </si>
  <si>
    <t xml:space="preserve">EPIC100270</t>
  </si>
  <si>
    <t xml:space="preserve">Kylila Godier</t>
  </si>
  <si>
    <t xml:space="preserve">Walliw Foulser</t>
  </si>
  <si>
    <t xml:space="preserve">EPIC100271</t>
  </si>
  <si>
    <t xml:space="preserve">Say Molen</t>
  </si>
  <si>
    <t xml:space="preserve">Aldon Tice</t>
  </si>
  <si>
    <t xml:space="preserve">EPIC100272</t>
  </si>
  <si>
    <t xml:space="preserve">Ariadne Frodsam</t>
  </si>
  <si>
    <t xml:space="preserve">Dale Whitlow</t>
  </si>
  <si>
    <t xml:space="preserve">EPIC100273</t>
  </si>
  <si>
    <t xml:space="preserve">Daisey Mabon</t>
  </si>
  <si>
    <t xml:space="preserve">Beilul Ales</t>
  </si>
  <si>
    <t xml:space="preserve">EPIC100274</t>
  </si>
  <si>
    <t xml:space="preserve">Lyndsey Quarlis</t>
  </si>
  <si>
    <t xml:space="preserve">Rhea Huckel</t>
  </si>
  <si>
    <t xml:space="preserve">EPIC100275</t>
  </si>
  <si>
    <t xml:space="preserve">Thomasine Poultney</t>
  </si>
  <si>
    <t xml:space="preserve">Sharron Jent</t>
  </si>
  <si>
    <t xml:space="preserve">EPIC100276</t>
  </si>
  <si>
    <t xml:space="preserve">Florie Yeoman</t>
  </si>
  <si>
    <t xml:space="preserve">Vance Willan</t>
  </si>
  <si>
    <t xml:space="preserve">EPIC100277</t>
  </si>
  <si>
    <t xml:space="preserve">Ken Adrain</t>
  </si>
  <si>
    <t xml:space="preserve">Kathe Durrell</t>
  </si>
  <si>
    <t xml:space="preserve">EPIC100278</t>
  </si>
  <si>
    <t xml:space="preserve">Jaime Dunmuir</t>
  </si>
  <si>
    <t xml:space="preserve">Gilli Roskilly</t>
  </si>
  <si>
    <t xml:space="preserve">EPIC100279</t>
  </si>
  <si>
    <t xml:space="preserve">Bogart Leborgne</t>
  </si>
  <si>
    <t xml:space="preserve">Geoffry Pittman</t>
  </si>
  <si>
    <t xml:space="preserve">EPIC100280</t>
  </si>
  <si>
    <t xml:space="preserve">Leticia Coll</t>
  </si>
  <si>
    <t xml:space="preserve">Aubrie Blincowe</t>
  </si>
  <si>
    <t xml:space="preserve">EPIC100281</t>
  </si>
  <si>
    <t xml:space="preserve">Maria Rameaux</t>
  </si>
  <si>
    <t xml:space="preserve">Graehme Lethardy</t>
  </si>
  <si>
    <t xml:space="preserve">EPIC100282</t>
  </si>
  <si>
    <t xml:space="preserve">Elliot Grindall</t>
  </si>
  <si>
    <t xml:space="preserve">Shep Beddingham</t>
  </si>
  <si>
    <t xml:space="preserve">EPIC100283</t>
  </si>
  <si>
    <t xml:space="preserve">Alard Willavoys</t>
  </si>
  <si>
    <t xml:space="preserve">August Cunniam</t>
  </si>
  <si>
    <t xml:space="preserve">EPIC100284</t>
  </si>
  <si>
    <t xml:space="preserve">Sayre Randalson</t>
  </si>
  <si>
    <t xml:space="preserve">Arley Eddisforth</t>
  </si>
  <si>
    <t xml:space="preserve">EPIC100285</t>
  </si>
  <si>
    <t xml:space="preserve">Joel Boffey</t>
  </si>
  <si>
    <t xml:space="preserve">Maighdiln Dahill</t>
  </si>
  <si>
    <t xml:space="preserve">EPIC100286</t>
  </si>
  <si>
    <t xml:space="preserve">Clerkclaude Collumbine</t>
  </si>
  <si>
    <t xml:space="preserve">Kevyn Fiddymont</t>
  </si>
  <si>
    <t xml:space="preserve">EPIC100287</t>
  </si>
  <si>
    <t xml:space="preserve">Kial Colbourn</t>
  </si>
  <si>
    <t xml:space="preserve">Shandy Robker</t>
  </si>
  <si>
    <t xml:space="preserve">EPIC100288</t>
  </si>
  <si>
    <t xml:space="preserve">Emili Voss</t>
  </si>
  <si>
    <t xml:space="preserve">Peria Fosken</t>
  </si>
  <si>
    <t xml:space="preserve">EPIC100289</t>
  </si>
  <si>
    <t xml:space="preserve">Agnesse Nolda</t>
  </si>
  <si>
    <t xml:space="preserve">Kirbee Bloodworth</t>
  </si>
  <si>
    <t xml:space="preserve">EPIC100290</t>
  </si>
  <si>
    <t xml:space="preserve">Cash Findlay</t>
  </si>
  <si>
    <t xml:space="preserve">Pierce Locksley</t>
  </si>
  <si>
    <t xml:space="preserve">EPIC100291</t>
  </si>
  <si>
    <t xml:space="preserve">Frasquito Trevena</t>
  </si>
  <si>
    <t xml:space="preserve">Mady Cockshutt</t>
  </si>
  <si>
    <t xml:space="preserve">EPIC100292</t>
  </si>
  <si>
    <t xml:space="preserve">Marta Flannery</t>
  </si>
  <si>
    <t xml:space="preserve">Fabio Dallywater</t>
  </si>
  <si>
    <t xml:space="preserve">EPIC100293</t>
  </si>
  <si>
    <t xml:space="preserve">Emmy Dumbelton</t>
  </si>
  <si>
    <t xml:space="preserve">Grazia Thombleson</t>
  </si>
  <si>
    <t xml:space="preserve">EPIC100294</t>
  </si>
  <si>
    <t xml:space="preserve">Consuelo Wagg</t>
  </si>
  <si>
    <t xml:space="preserve">Quintus Rylatt</t>
  </si>
  <si>
    <t xml:space="preserve">EPIC100295</t>
  </si>
  <si>
    <t xml:space="preserve">Wandie Scoggins</t>
  </si>
  <si>
    <t xml:space="preserve">Reinald Halston</t>
  </si>
  <si>
    <t xml:space="preserve">EPIC100296</t>
  </si>
  <si>
    <t xml:space="preserve">Tamma Earlam</t>
  </si>
  <si>
    <t xml:space="preserve">Devon Nestoruk</t>
  </si>
  <si>
    <t xml:space="preserve">EPIC100297</t>
  </si>
  <si>
    <t xml:space="preserve">Tabor Mansion</t>
  </si>
  <si>
    <t xml:space="preserve">Vinita Raddon</t>
  </si>
  <si>
    <t xml:space="preserve">EPIC100298</t>
  </si>
  <si>
    <t xml:space="preserve">Wolfgang Pass</t>
  </si>
  <si>
    <t xml:space="preserve">Maryann Balassi</t>
  </si>
  <si>
    <t xml:space="preserve">EPIC100299</t>
  </si>
  <si>
    <t xml:space="preserve">Tatum Brader</t>
  </si>
  <si>
    <t xml:space="preserve">Yovonnda Godbehere</t>
  </si>
  <si>
    <t xml:space="preserve">EPIC100300</t>
  </si>
  <si>
    <t xml:space="preserve">Klaus Nunns</t>
  </si>
  <si>
    <t xml:space="preserve">Felisha Daniaud</t>
  </si>
  <si>
    <t xml:space="preserve">EPIC100301</t>
  </si>
  <si>
    <t xml:space="preserve">Annelise Dedney</t>
  </si>
  <si>
    <t xml:space="preserve">Tobey Vasilik</t>
  </si>
  <si>
    <t xml:space="preserve">EPIC100302</t>
  </si>
  <si>
    <t xml:space="preserve">Fredia Southby</t>
  </si>
  <si>
    <t xml:space="preserve">Viki Brolechan</t>
  </si>
  <si>
    <t xml:space="preserve">EPIC100303</t>
  </si>
  <si>
    <t xml:space="preserve">Winny Ferebee</t>
  </si>
  <si>
    <t xml:space="preserve">Patricio Dutnell</t>
  </si>
  <si>
    <t xml:space="preserve">EPIC100304</t>
  </si>
  <si>
    <t xml:space="preserve">Mahalia Castiglio</t>
  </si>
  <si>
    <t xml:space="preserve">Celle Vannacci</t>
  </si>
  <si>
    <t xml:space="preserve">EPIC100305</t>
  </si>
  <si>
    <t xml:space="preserve">Laurianne Gonsalvez</t>
  </si>
  <si>
    <t xml:space="preserve">Calvin Goakes</t>
  </si>
  <si>
    <t xml:space="preserve">EPIC100306</t>
  </si>
  <si>
    <t xml:space="preserve">Alleyn Posselt</t>
  </si>
  <si>
    <t xml:space="preserve">Pavia Ash</t>
  </si>
  <si>
    <t xml:space="preserve">EPIC100307</t>
  </si>
  <si>
    <t xml:space="preserve">Reinaldos Ludwig</t>
  </si>
  <si>
    <t xml:space="preserve">Madeleine Fielders</t>
  </si>
  <si>
    <t xml:space="preserve">EPIC100308</t>
  </si>
  <si>
    <t xml:space="preserve">Johnathan Angus</t>
  </si>
  <si>
    <t xml:space="preserve">Jose Brightwell</t>
  </si>
  <si>
    <t xml:space="preserve">EPIC100309</t>
  </si>
  <si>
    <t xml:space="preserve">Daphne Manuelli</t>
  </si>
  <si>
    <t xml:space="preserve">Brendon Youdell</t>
  </si>
  <si>
    <t xml:space="preserve">EPIC100310</t>
  </si>
  <si>
    <t xml:space="preserve">Tore Wyatt</t>
  </si>
  <si>
    <t xml:space="preserve">Dotti Paradine</t>
  </si>
  <si>
    <t xml:space="preserve">EPIC100311</t>
  </si>
  <si>
    <t xml:space="preserve">Minnie Fourmy</t>
  </si>
  <si>
    <t xml:space="preserve">Oralla Bome</t>
  </si>
  <si>
    <t xml:space="preserve">EPIC100312</t>
  </si>
  <si>
    <t xml:space="preserve">Adel Diperaus</t>
  </si>
  <si>
    <t xml:space="preserve">Marita Elnaugh</t>
  </si>
  <si>
    <t xml:space="preserve">EPIC100313</t>
  </si>
  <si>
    <t xml:space="preserve">Janith Tunder</t>
  </si>
  <si>
    <t xml:space="preserve">Munmro Twinbrow</t>
  </si>
  <si>
    <t xml:space="preserve">EPIC100314</t>
  </si>
  <si>
    <t xml:space="preserve">Perla Latch</t>
  </si>
  <si>
    <t xml:space="preserve">Angus Perigeaux</t>
  </si>
  <si>
    <t xml:space="preserve">EPIC100315</t>
  </si>
  <si>
    <t xml:space="preserve">Matteo Focke</t>
  </si>
  <si>
    <t xml:space="preserve">Jayme Ryman</t>
  </si>
  <si>
    <t xml:space="preserve">EPIC100316</t>
  </si>
  <si>
    <t xml:space="preserve">Whitaker Pleven</t>
  </si>
  <si>
    <t xml:space="preserve">Olia Klaus</t>
  </si>
  <si>
    <t xml:space="preserve">EPIC100317</t>
  </si>
  <si>
    <t xml:space="preserve">Arden Goult</t>
  </si>
  <si>
    <t xml:space="preserve">Bee Biggs</t>
  </si>
  <si>
    <t xml:space="preserve">EPIC100318</t>
  </si>
  <si>
    <t xml:space="preserve">Marylee Shattock</t>
  </si>
  <si>
    <t xml:space="preserve">Claybourne Skarr</t>
  </si>
  <si>
    <t xml:space="preserve">EPIC100319</t>
  </si>
  <si>
    <t xml:space="preserve">Evangelin Rattry</t>
  </si>
  <si>
    <t xml:space="preserve">Verge Hritzko</t>
  </si>
  <si>
    <t xml:space="preserve">EPIC100320</t>
  </si>
  <si>
    <t xml:space="preserve">Clerkclaude Halwood</t>
  </si>
  <si>
    <t xml:space="preserve">Sophi Rizzillo</t>
  </si>
  <si>
    <t xml:space="preserve">EPIC100321</t>
  </si>
  <si>
    <t xml:space="preserve">Kenton Shearston</t>
  </si>
  <si>
    <t xml:space="preserve">Madalyn Gawthrop</t>
  </si>
  <si>
    <t xml:space="preserve">EPIC100322</t>
  </si>
  <si>
    <t xml:space="preserve">Bendite Fellgatt</t>
  </si>
  <si>
    <t xml:space="preserve">Inessa Calterone</t>
  </si>
  <si>
    <t xml:space="preserve">EPIC100323</t>
  </si>
  <si>
    <t xml:space="preserve">Jody Hencke</t>
  </si>
  <si>
    <t xml:space="preserve">Rudy Matherson</t>
  </si>
  <si>
    <t xml:space="preserve">EPIC100324</t>
  </si>
  <si>
    <t xml:space="preserve">Krystle Dmitrovic</t>
  </si>
  <si>
    <t xml:space="preserve">Chickie Rubinlicht</t>
  </si>
  <si>
    <t xml:space="preserve">EPIC100325</t>
  </si>
  <si>
    <t xml:space="preserve">Traci Penticost</t>
  </si>
  <si>
    <t xml:space="preserve">Binnie Lettley</t>
  </si>
  <si>
    <t xml:space="preserve">EPIC100326</t>
  </si>
  <si>
    <t xml:space="preserve">Ashley Triplett</t>
  </si>
  <si>
    <t xml:space="preserve">Hilton Jent</t>
  </si>
  <si>
    <t xml:space="preserve">EPIC100327</t>
  </si>
  <si>
    <t xml:space="preserve">Meredith Dryburgh</t>
  </si>
  <si>
    <t xml:space="preserve">Bentlee de Glanville</t>
  </si>
  <si>
    <t xml:space="preserve">EPIC100328</t>
  </si>
  <si>
    <t xml:space="preserve">Hamlin Augustin</t>
  </si>
  <si>
    <t xml:space="preserve">Melessa Jersch</t>
  </si>
  <si>
    <t xml:space="preserve">EPIC100329</t>
  </si>
  <si>
    <t xml:space="preserve">Delphine Furphy</t>
  </si>
  <si>
    <t xml:space="preserve">Angie Hue</t>
  </si>
  <si>
    <t xml:space="preserve">EPIC100330</t>
  </si>
  <si>
    <t xml:space="preserve">Matthaeus Comiam</t>
  </si>
  <si>
    <t xml:space="preserve">Nicole Hyslop</t>
  </si>
  <si>
    <t xml:space="preserve">EPIC100331</t>
  </si>
  <si>
    <t xml:space="preserve">Olivette Birts</t>
  </si>
  <si>
    <t xml:space="preserve">Jesse Schneidau</t>
  </si>
  <si>
    <t xml:space="preserve">EPIC100332</t>
  </si>
  <si>
    <t xml:space="preserve">Abigael Delicate</t>
  </si>
  <si>
    <t xml:space="preserve">Belita Alldritt</t>
  </si>
  <si>
    <t xml:space="preserve">EPIC100333</t>
  </si>
  <si>
    <t xml:space="preserve">Lethia Kniveton</t>
  </si>
  <si>
    <t xml:space="preserve">Carmel Brosio</t>
  </si>
  <si>
    <t xml:space="preserve">EPIC100334</t>
  </si>
  <si>
    <t xml:space="preserve">Hadlee Pleasaunce</t>
  </si>
  <si>
    <t xml:space="preserve">Eda Libbis</t>
  </si>
  <si>
    <t xml:space="preserve">EPIC100335</t>
  </si>
  <si>
    <t xml:space="preserve">Lindy Welden</t>
  </si>
  <si>
    <t xml:space="preserve">Ambrosi Cristol</t>
  </si>
  <si>
    <t xml:space="preserve">EPIC100336</t>
  </si>
  <si>
    <t xml:space="preserve">Brett Cappineer</t>
  </si>
  <si>
    <t xml:space="preserve">Antonella Whitecross</t>
  </si>
  <si>
    <t xml:space="preserve">EPIC100337</t>
  </si>
  <si>
    <t xml:space="preserve">Tami Jagiela</t>
  </si>
  <si>
    <t xml:space="preserve">Corette Downe</t>
  </si>
  <si>
    <t xml:space="preserve">EPIC100338</t>
  </si>
  <si>
    <t xml:space="preserve">Daphne Attfield</t>
  </si>
  <si>
    <t xml:space="preserve">Sherie Garvagh</t>
  </si>
  <si>
    <t xml:space="preserve">EPIC100339</t>
  </si>
  <si>
    <t xml:space="preserve">Shayne Gobourn</t>
  </si>
  <si>
    <t xml:space="preserve">Charmion Esplin</t>
  </si>
  <si>
    <t xml:space="preserve">EPIC100340</t>
  </si>
  <si>
    <t xml:space="preserve">Damon Warbys</t>
  </si>
  <si>
    <t xml:space="preserve">Benson Bouttell</t>
  </si>
  <si>
    <t xml:space="preserve">EPIC100341</t>
  </si>
  <si>
    <t xml:space="preserve">Illa Pauler</t>
  </si>
  <si>
    <t xml:space="preserve">Rubie Chalcraft</t>
  </si>
  <si>
    <t xml:space="preserve">EPIC100342</t>
  </si>
  <si>
    <t xml:space="preserve">Remington Rushworth</t>
  </si>
  <si>
    <t xml:space="preserve">Malissia Avery</t>
  </si>
  <si>
    <t xml:space="preserve">EPIC100343</t>
  </si>
  <si>
    <t xml:space="preserve">Donni Laight</t>
  </si>
  <si>
    <t xml:space="preserve">Morly Boyles</t>
  </si>
  <si>
    <t xml:space="preserve">EPIC100344</t>
  </si>
  <si>
    <t xml:space="preserve">Andrew Welman</t>
  </si>
  <si>
    <t xml:space="preserve">Belicia Stillwell</t>
  </si>
  <si>
    <t xml:space="preserve">EPIC100345</t>
  </si>
  <si>
    <t xml:space="preserve">Grady McAllen</t>
  </si>
  <si>
    <t xml:space="preserve">Archy Davenport</t>
  </si>
  <si>
    <t xml:space="preserve">EPIC100346</t>
  </si>
  <si>
    <t xml:space="preserve">Sibella McCreagh</t>
  </si>
  <si>
    <t xml:space="preserve">Barby Wegener</t>
  </si>
  <si>
    <t xml:space="preserve">EPIC100347</t>
  </si>
  <si>
    <t xml:space="preserve">Valry Decker</t>
  </si>
  <si>
    <t xml:space="preserve">Packston Sheringham</t>
  </si>
  <si>
    <t xml:space="preserve">EPIC100348</t>
  </si>
  <si>
    <t xml:space="preserve">Crystal Brozsset</t>
  </si>
  <si>
    <t xml:space="preserve">Khalil Jervois</t>
  </si>
  <si>
    <t xml:space="preserve">EPIC100349</t>
  </si>
  <si>
    <t xml:space="preserve">Kat Derrett</t>
  </si>
  <si>
    <t xml:space="preserve">Dyane Wheeler</t>
  </si>
  <si>
    <t xml:space="preserve">EPIC100350</t>
  </si>
  <si>
    <t xml:space="preserve">Caroljean Armal</t>
  </si>
  <si>
    <t xml:space="preserve">Gertrud Hacquel</t>
  </si>
  <si>
    <t xml:space="preserve">EPIC100351</t>
  </si>
  <si>
    <t xml:space="preserve">Loella Jowers</t>
  </si>
  <si>
    <t xml:space="preserve">Robers Paget</t>
  </si>
  <si>
    <t xml:space="preserve">EPIC100352</t>
  </si>
  <si>
    <t xml:space="preserve">Roze Giuroni</t>
  </si>
  <si>
    <t xml:space="preserve">Brianna Pawfoot</t>
  </si>
  <si>
    <t xml:space="preserve">EPIC100353</t>
  </si>
  <si>
    <t xml:space="preserve">Duffie Barens</t>
  </si>
  <si>
    <t xml:space="preserve">Dorette Radbourn</t>
  </si>
  <si>
    <t xml:space="preserve">EPIC100354</t>
  </si>
  <si>
    <t xml:space="preserve">Dall Lumox</t>
  </si>
  <si>
    <t xml:space="preserve">Katharine Tempest</t>
  </si>
  <si>
    <t xml:space="preserve">EPIC100355</t>
  </si>
  <si>
    <t xml:space="preserve">Lyndell Eccersley</t>
  </si>
  <si>
    <t xml:space="preserve">Mariam Portingale</t>
  </si>
  <si>
    <t xml:space="preserve">EPIC100356</t>
  </si>
  <si>
    <t xml:space="preserve">Jessica Shinefield</t>
  </si>
  <si>
    <t xml:space="preserve">Wesley Gallager</t>
  </si>
  <si>
    <t xml:space="preserve">EPIC100357</t>
  </si>
  <si>
    <t xml:space="preserve">Boonie Challenor</t>
  </si>
  <si>
    <t xml:space="preserve">Boote Dunphy</t>
  </si>
  <si>
    <t xml:space="preserve">EPIC100358</t>
  </si>
  <si>
    <t xml:space="preserve">Sigismondo Clapston</t>
  </si>
  <si>
    <t xml:space="preserve">Teodor Rosgen</t>
  </si>
  <si>
    <t xml:space="preserve">EPIC100359</t>
  </si>
  <si>
    <t xml:space="preserve">Dino Corneille</t>
  </si>
  <si>
    <t xml:space="preserve">Boyce Moreinis</t>
  </si>
  <si>
    <t xml:space="preserve">EPIC100360</t>
  </si>
  <si>
    <t xml:space="preserve">Ekaterina Cuschieri</t>
  </si>
  <si>
    <t xml:space="preserve">Tova Plampin</t>
  </si>
  <si>
    <t xml:space="preserve">EPIC100361</t>
  </si>
  <si>
    <t xml:space="preserve">Casey Leavold</t>
  </si>
  <si>
    <t xml:space="preserve">Sydel Sate</t>
  </si>
  <si>
    <t xml:space="preserve">EPIC100362</t>
  </si>
  <si>
    <t xml:space="preserve">Filmore Dulton</t>
  </si>
  <si>
    <t xml:space="preserve">Ive Pape</t>
  </si>
  <si>
    <t xml:space="preserve">EPIC100363</t>
  </si>
  <si>
    <t xml:space="preserve">Ettore Barrowcliffe</t>
  </si>
  <si>
    <t xml:space="preserve">Renaud Zuann</t>
  </si>
  <si>
    <t xml:space="preserve">EPIC100364</t>
  </si>
  <si>
    <t xml:space="preserve">Nady Beacroft</t>
  </si>
  <si>
    <t xml:space="preserve">Magdalen Sharrard</t>
  </si>
  <si>
    <t xml:space="preserve">EPIC100365</t>
  </si>
  <si>
    <t xml:space="preserve">Merle Ravens</t>
  </si>
  <si>
    <t xml:space="preserve">Cassondra Mangin</t>
  </si>
  <si>
    <t xml:space="preserve">EPIC100366</t>
  </si>
  <si>
    <t xml:space="preserve">Ilsa Mabone</t>
  </si>
  <si>
    <t xml:space="preserve">Nye Rushman</t>
  </si>
  <si>
    <t xml:space="preserve">EPIC100367</t>
  </si>
  <si>
    <t xml:space="preserve">Quintus Sautter</t>
  </si>
  <si>
    <t xml:space="preserve">Martica Riba</t>
  </si>
  <si>
    <t xml:space="preserve">EPIC100368</t>
  </si>
  <si>
    <t xml:space="preserve">Blinny Leile</t>
  </si>
  <si>
    <t xml:space="preserve">Rosa Wheeliker</t>
  </si>
  <si>
    <t xml:space="preserve">EPIC100369</t>
  </si>
  <si>
    <t xml:space="preserve">Beitris McMorland</t>
  </si>
  <si>
    <t xml:space="preserve">Elmo Dumsday</t>
  </si>
  <si>
    <t xml:space="preserve">EPIC100370</t>
  </si>
  <si>
    <t xml:space="preserve">Darin Huggens</t>
  </si>
  <si>
    <t xml:space="preserve">Herold Raulin</t>
  </si>
  <si>
    <t xml:space="preserve">EPIC100371</t>
  </si>
  <si>
    <t xml:space="preserve">Bryana McCafferty</t>
  </si>
  <si>
    <t xml:space="preserve">Emmanuel Van Saltsberg</t>
  </si>
  <si>
    <t xml:space="preserve">EPIC100372</t>
  </si>
  <si>
    <t xml:space="preserve">Pierette Marikhin</t>
  </si>
  <si>
    <t xml:space="preserve">Gale Kynton</t>
  </si>
  <si>
    <t xml:space="preserve">EPIC100373</t>
  </si>
  <si>
    <t xml:space="preserve">Bethany Jobbins</t>
  </si>
  <si>
    <t xml:space="preserve">Charis Pemberton</t>
  </si>
  <si>
    <t xml:space="preserve">EPIC100374</t>
  </si>
  <si>
    <t xml:space="preserve">Winifred Muncey</t>
  </si>
  <si>
    <t xml:space="preserve">Chastity Dog</t>
  </si>
  <si>
    <t xml:space="preserve">EPIC100375</t>
  </si>
  <si>
    <t xml:space="preserve">Amelia Gloucester</t>
  </si>
  <si>
    <t xml:space="preserve">Virgilio O'Sheils</t>
  </si>
  <si>
    <t xml:space="preserve">EPIC100376</t>
  </si>
  <si>
    <t xml:space="preserve">Dickie Anderl</t>
  </si>
  <si>
    <t xml:space="preserve">Lenee Flatt</t>
  </si>
  <si>
    <t xml:space="preserve">EPIC100377</t>
  </si>
  <si>
    <t xml:space="preserve">Alla Ellerman</t>
  </si>
  <si>
    <t xml:space="preserve">Maddy Zaczek</t>
  </si>
  <si>
    <t xml:space="preserve">EPIC100378</t>
  </si>
  <si>
    <t xml:space="preserve">Godfree Kiln</t>
  </si>
  <si>
    <t xml:space="preserve">Jarad Clemett</t>
  </si>
  <si>
    <t xml:space="preserve">EPIC100379</t>
  </si>
  <si>
    <t xml:space="preserve">Chauncey Bouldon</t>
  </si>
  <si>
    <t xml:space="preserve">Toma Conner</t>
  </si>
  <si>
    <t xml:space="preserve">EPIC100380</t>
  </si>
  <si>
    <t xml:space="preserve">Lynnell Meakin</t>
  </si>
  <si>
    <t xml:space="preserve">Stefa Rupp</t>
  </si>
  <si>
    <t xml:space="preserve">EPIC100381</t>
  </si>
  <si>
    <t xml:space="preserve">Abra Filintsev</t>
  </si>
  <si>
    <t xml:space="preserve">Amory Stoop</t>
  </si>
  <si>
    <t xml:space="preserve">EPIC100382</t>
  </si>
  <si>
    <t xml:space="preserve">Miran Bordman</t>
  </si>
  <si>
    <t xml:space="preserve">Rorke Extil</t>
  </si>
  <si>
    <t xml:space="preserve">EPIC100383</t>
  </si>
  <si>
    <t xml:space="preserve">Kaila Leatherland</t>
  </si>
  <si>
    <t xml:space="preserve">Kate Davage</t>
  </si>
  <si>
    <t xml:space="preserve">EPIC100384</t>
  </si>
  <si>
    <t xml:space="preserve">Marty Zoephel</t>
  </si>
  <si>
    <t xml:space="preserve">Harris Grigorushkin</t>
  </si>
  <si>
    <t xml:space="preserve">EPIC100385</t>
  </si>
  <si>
    <t xml:space="preserve">Lorraine Undrell</t>
  </si>
  <si>
    <t xml:space="preserve">Lilias Franseco</t>
  </si>
  <si>
    <t xml:space="preserve">EPIC100386</t>
  </si>
  <si>
    <t xml:space="preserve">Gisella Siege</t>
  </si>
  <si>
    <t xml:space="preserve">Gaile Rawlingson</t>
  </si>
  <si>
    <t xml:space="preserve">EPIC100387</t>
  </si>
  <si>
    <t xml:space="preserve">Billye Poundsford</t>
  </si>
  <si>
    <t xml:space="preserve">Isiahi Sweetzer</t>
  </si>
  <si>
    <t xml:space="preserve">EPIC100388</t>
  </si>
  <si>
    <t xml:space="preserve">Torey Hackworthy</t>
  </si>
  <si>
    <t xml:space="preserve">Barclay Cutforth</t>
  </si>
  <si>
    <t xml:space="preserve">EPIC100389</t>
  </si>
  <si>
    <t xml:space="preserve">Spence Broadhead</t>
  </si>
  <si>
    <t xml:space="preserve">Gabbi Opie</t>
  </si>
  <si>
    <t xml:space="preserve">EPIC100390</t>
  </si>
  <si>
    <t xml:space="preserve">Tito Denyer</t>
  </si>
  <si>
    <t xml:space="preserve">Fanechka Lenormand</t>
  </si>
  <si>
    <t xml:space="preserve">EPIC100391</t>
  </si>
  <si>
    <t xml:space="preserve">Cathee Herculson</t>
  </si>
  <si>
    <t xml:space="preserve">Bell Hadgkiss</t>
  </si>
  <si>
    <t xml:space="preserve">EPIC100392</t>
  </si>
  <si>
    <t xml:space="preserve">Westbrook Dorot</t>
  </si>
  <si>
    <t xml:space="preserve">Dal Patnelli</t>
  </si>
  <si>
    <t xml:space="preserve">EPIC100393</t>
  </si>
  <si>
    <t xml:space="preserve">Cele Yurocjkin</t>
  </si>
  <si>
    <t xml:space="preserve">Cleavland Ferrand</t>
  </si>
  <si>
    <t xml:space="preserve">EPIC100394</t>
  </si>
  <si>
    <t xml:space="preserve">Errol Blewmen</t>
  </si>
  <si>
    <t xml:space="preserve">Perice Duffie</t>
  </si>
  <si>
    <t xml:space="preserve">EPIC100395</t>
  </si>
  <si>
    <t xml:space="preserve">Dalston Wiersma</t>
  </si>
  <si>
    <t xml:space="preserve">Karyn Brody</t>
  </si>
  <si>
    <t xml:space="preserve">EPIC100396</t>
  </si>
  <si>
    <t xml:space="preserve">Peterus Szimon</t>
  </si>
  <si>
    <t xml:space="preserve">Brnaba Skaif</t>
  </si>
  <si>
    <t xml:space="preserve">EPIC100397</t>
  </si>
  <si>
    <t xml:space="preserve">Basia Carlozzi</t>
  </si>
  <si>
    <t xml:space="preserve">Vachel Ragsdall</t>
  </si>
  <si>
    <t xml:space="preserve">EPIC100398</t>
  </si>
  <si>
    <t xml:space="preserve">Henry Extence</t>
  </si>
  <si>
    <t xml:space="preserve">Angelo Burd</t>
  </si>
  <si>
    <t xml:space="preserve">EPIC100399</t>
  </si>
  <si>
    <t xml:space="preserve">Daisy de Werk</t>
  </si>
  <si>
    <t xml:space="preserve">Calla Basey</t>
  </si>
  <si>
    <t xml:space="preserve">EPIC100400</t>
  </si>
  <si>
    <t xml:space="preserve">Natty Bleasdille</t>
  </si>
  <si>
    <t xml:space="preserve">Kariotta Gouda</t>
  </si>
  <si>
    <t xml:space="preserve">EPIC100401</t>
  </si>
  <si>
    <t xml:space="preserve">Huberto Ruseworth</t>
  </si>
  <si>
    <t xml:space="preserve">Desi Arrow</t>
  </si>
  <si>
    <t xml:space="preserve">EPIC100402</t>
  </si>
  <si>
    <t xml:space="preserve">Grannie Fairburne</t>
  </si>
  <si>
    <t xml:space="preserve">Ingelbert Mattaus</t>
  </si>
  <si>
    <t xml:space="preserve">EPIC100403</t>
  </si>
  <si>
    <t xml:space="preserve">Bennie Talbot</t>
  </si>
  <si>
    <t xml:space="preserve">Joana Domnick</t>
  </si>
  <si>
    <t xml:space="preserve">EPIC100404</t>
  </si>
  <si>
    <t xml:space="preserve">Ree Bassilashvili</t>
  </si>
  <si>
    <t xml:space="preserve">Pet Crocroft</t>
  </si>
  <si>
    <t xml:space="preserve">EPIC100405</t>
  </si>
  <si>
    <t xml:space="preserve">Patrice Hook</t>
  </si>
  <si>
    <t xml:space="preserve">Carry Arch</t>
  </si>
  <si>
    <t xml:space="preserve">EPIC100406</t>
  </si>
  <si>
    <t xml:space="preserve">Bryna Laugheran</t>
  </si>
  <si>
    <t xml:space="preserve">Laurena Janatka</t>
  </si>
  <si>
    <t xml:space="preserve">EPIC100407</t>
  </si>
  <si>
    <t xml:space="preserve">Cristabel Kisar</t>
  </si>
  <si>
    <t xml:space="preserve">Enrico Elldred</t>
  </si>
  <si>
    <t xml:space="preserve">EPIC100408</t>
  </si>
  <si>
    <t xml:space="preserve">Reynolds Threlkeld</t>
  </si>
  <si>
    <t xml:space="preserve">Trever Butner</t>
  </si>
  <si>
    <t xml:space="preserve">EPIC100409</t>
  </si>
  <si>
    <t xml:space="preserve">Charyl Brigshaw</t>
  </si>
  <si>
    <t xml:space="preserve">Arlin Hans</t>
  </si>
  <si>
    <t xml:space="preserve">EPIC100410</t>
  </si>
  <si>
    <t xml:space="preserve">Myca Borgars</t>
  </si>
  <si>
    <t xml:space="preserve">Davie Bolderstone</t>
  </si>
  <si>
    <t xml:space="preserve">EPIC100411</t>
  </si>
  <si>
    <t xml:space="preserve">Ring O'Kennedy</t>
  </si>
  <si>
    <t xml:space="preserve">Joycelin Tebb</t>
  </si>
  <si>
    <t xml:space="preserve">EPIC100412</t>
  </si>
  <si>
    <t xml:space="preserve">Hamid Custard</t>
  </si>
  <si>
    <t xml:space="preserve">Johnath Stansbury</t>
  </si>
  <si>
    <t xml:space="preserve">EPIC100413</t>
  </si>
  <si>
    <t xml:space="preserve">Hoyt Geeve</t>
  </si>
  <si>
    <t xml:space="preserve">Halie Westwood</t>
  </si>
  <si>
    <t xml:space="preserve">EPIC100414</t>
  </si>
  <si>
    <t xml:space="preserve">Avram Crichmer</t>
  </si>
  <si>
    <t xml:space="preserve">Emelda Davison</t>
  </si>
  <si>
    <t xml:space="preserve">EPIC100415</t>
  </si>
  <si>
    <t xml:space="preserve">Cherie Ingrem</t>
  </si>
  <si>
    <t xml:space="preserve">Olav Petrashkov</t>
  </si>
  <si>
    <t xml:space="preserve">EPIC100416</t>
  </si>
  <si>
    <t xml:space="preserve">Oralie Wynn</t>
  </si>
  <si>
    <t xml:space="preserve">Viviyan Winsley</t>
  </si>
  <si>
    <t xml:space="preserve">EPIC100417</t>
  </si>
  <si>
    <t xml:space="preserve">Tina Kington</t>
  </si>
  <si>
    <t xml:space="preserve">Elinor Domelow</t>
  </si>
  <si>
    <t xml:space="preserve">EPIC100418</t>
  </si>
  <si>
    <t xml:space="preserve">Kittie Teodoro</t>
  </si>
  <si>
    <t xml:space="preserve">Silas Caldaro</t>
  </si>
  <si>
    <t xml:space="preserve">EPIC100419</t>
  </si>
  <si>
    <t xml:space="preserve">Ingeborg Skep</t>
  </si>
  <si>
    <t xml:space="preserve">Lauren Trevers</t>
  </si>
  <si>
    <t xml:space="preserve">EPIC100420</t>
  </si>
  <si>
    <t xml:space="preserve">Mordy Brantzen</t>
  </si>
  <si>
    <t xml:space="preserve">Waiter Faires</t>
  </si>
  <si>
    <t xml:space="preserve">EPIC100421</t>
  </si>
  <si>
    <t xml:space="preserve">Emmalee Scare</t>
  </si>
  <si>
    <t xml:space="preserve">Kimberley Klemmt</t>
  </si>
  <si>
    <t xml:space="preserve">EPIC100422</t>
  </si>
  <si>
    <t xml:space="preserve">Yves Rolf</t>
  </si>
  <si>
    <t xml:space="preserve">Yasmeen Toward</t>
  </si>
  <si>
    <t xml:space="preserve">EPIC100423</t>
  </si>
  <si>
    <t xml:space="preserve">Duncan Claque</t>
  </si>
  <si>
    <t xml:space="preserve">Emalee Merryfield</t>
  </si>
  <si>
    <t xml:space="preserve">EPIC100424</t>
  </si>
  <si>
    <t xml:space="preserve">Hart Semorad</t>
  </si>
  <si>
    <t xml:space="preserve">Marjorie Newlove</t>
  </si>
  <si>
    <t xml:space="preserve">EPIC100425</t>
  </si>
  <si>
    <t xml:space="preserve">Yoshi Von Welldun</t>
  </si>
  <si>
    <t xml:space="preserve">Maddy Rampage</t>
  </si>
  <si>
    <t xml:space="preserve">EPIC100426</t>
  </si>
  <si>
    <t xml:space="preserve">Kamilah Marthen</t>
  </si>
  <si>
    <t xml:space="preserve">Nomi Lemerie</t>
  </si>
  <si>
    <t xml:space="preserve">EPIC100427</t>
  </si>
  <si>
    <t xml:space="preserve">Isidor Rock</t>
  </si>
  <si>
    <t xml:space="preserve">Grace Doxey</t>
  </si>
  <si>
    <t xml:space="preserve">EPIC100428</t>
  </si>
  <si>
    <t xml:space="preserve">Mallissa Sherel</t>
  </si>
  <si>
    <t xml:space="preserve">Raymund Seely</t>
  </si>
  <si>
    <t xml:space="preserve">EPIC100429</t>
  </si>
  <si>
    <t xml:space="preserve">Carolann McTerrelly</t>
  </si>
  <si>
    <t xml:space="preserve">Othilia Isoldi</t>
  </si>
  <si>
    <t xml:space="preserve">EPIC100430</t>
  </si>
  <si>
    <t xml:space="preserve">Nappie Hoffman</t>
  </si>
  <si>
    <t xml:space="preserve">Korella Risman</t>
  </si>
  <si>
    <t xml:space="preserve">EPIC100431</t>
  </si>
  <si>
    <t xml:space="preserve">Lona Airey</t>
  </si>
  <si>
    <t xml:space="preserve">Fifi Itzkovwitch</t>
  </si>
  <si>
    <t xml:space="preserve">EPIC100432</t>
  </si>
  <si>
    <t xml:space="preserve">Tod Burrett</t>
  </si>
  <si>
    <t xml:space="preserve">Sheffield Latey</t>
  </si>
  <si>
    <t xml:space="preserve">EPIC100433</t>
  </si>
  <si>
    <t xml:space="preserve">Janie Ellams</t>
  </si>
  <si>
    <t xml:space="preserve">Chilton Marcham</t>
  </si>
  <si>
    <t xml:space="preserve">EPIC100434</t>
  </si>
  <si>
    <t xml:space="preserve">Will Benjafield</t>
  </si>
  <si>
    <t xml:space="preserve">Tracy Turfitt</t>
  </si>
  <si>
    <t xml:space="preserve">EPIC100435</t>
  </si>
  <si>
    <t xml:space="preserve">Alfonso Rudolf</t>
  </si>
  <si>
    <t xml:space="preserve">Barby Leivers</t>
  </si>
  <si>
    <t xml:space="preserve">EPIC100436</t>
  </si>
  <si>
    <t xml:space="preserve">Flinn Ruselin</t>
  </si>
  <si>
    <t xml:space="preserve">Evonne Birdwistle</t>
  </si>
  <si>
    <t xml:space="preserve">EPIC100437</t>
  </si>
  <si>
    <t xml:space="preserve">Joleen Kunes</t>
  </si>
  <si>
    <t xml:space="preserve">Michel Scannell</t>
  </si>
  <si>
    <t xml:space="preserve">EPIC100438</t>
  </si>
  <si>
    <t xml:space="preserve">Cheryl Dorrington</t>
  </si>
  <si>
    <t xml:space="preserve">Giralda Caudray</t>
  </si>
  <si>
    <t xml:space="preserve">EPIC100439</t>
  </si>
  <si>
    <t xml:space="preserve">Walt Lune</t>
  </si>
  <si>
    <t xml:space="preserve">Emma Ranklin</t>
  </si>
  <si>
    <t xml:space="preserve">EPIC100440</t>
  </si>
  <si>
    <t xml:space="preserve">Gil Monck</t>
  </si>
  <si>
    <t xml:space="preserve">Garald Doghartie</t>
  </si>
  <si>
    <t xml:space="preserve">EPIC100441</t>
  </si>
  <si>
    <t xml:space="preserve">Codi Woodwin</t>
  </si>
  <si>
    <t xml:space="preserve">Carmen Gai</t>
  </si>
  <si>
    <t xml:space="preserve">EPIC100442</t>
  </si>
  <si>
    <t xml:space="preserve">Meggy Alentyev</t>
  </si>
  <si>
    <t xml:space="preserve">Rene Gun</t>
  </si>
  <si>
    <t xml:space="preserve">EPIC100443</t>
  </si>
  <si>
    <t xml:space="preserve">Dasya Margarson</t>
  </si>
  <si>
    <t xml:space="preserve">Yul Badby</t>
  </si>
  <si>
    <t xml:space="preserve">EPIC100444</t>
  </si>
  <si>
    <t xml:space="preserve">Masha Sydney</t>
  </si>
  <si>
    <t xml:space="preserve">Jill Callaway</t>
  </si>
  <si>
    <t xml:space="preserve">EPIC100445</t>
  </si>
  <si>
    <t xml:space="preserve">Pattin Braxay</t>
  </si>
  <si>
    <t xml:space="preserve">Mil De Bischop</t>
  </si>
  <si>
    <t xml:space="preserve">EPIC100446</t>
  </si>
  <si>
    <t xml:space="preserve">Nicoline Minchinton</t>
  </si>
  <si>
    <t xml:space="preserve">Tedda Shillabeare</t>
  </si>
  <si>
    <t xml:space="preserve">EPIC100447</t>
  </si>
  <si>
    <t xml:space="preserve">Aggi Aikman</t>
  </si>
  <si>
    <t xml:space="preserve">Gael Dunbabin</t>
  </si>
  <si>
    <t xml:space="preserve">EPIC100448</t>
  </si>
  <si>
    <t xml:space="preserve">Quentin Wetherill</t>
  </si>
  <si>
    <t xml:space="preserve">Horton Artin</t>
  </si>
  <si>
    <t xml:space="preserve">EPIC100449</t>
  </si>
  <si>
    <t xml:space="preserve">Fleurette Lestrange</t>
  </si>
  <si>
    <t xml:space="preserve">Babs Prozescky</t>
  </si>
  <si>
    <t xml:space="preserve">EPIC100450</t>
  </si>
  <si>
    <t xml:space="preserve">Essy Fairham</t>
  </si>
  <si>
    <t xml:space="preserve">Riannon O'Shevlan</t>
  </si>
  <si>
    <t xml:space="preserve">EPIC100451</t>
  </si>
  <si>
    <t xml:space="preserve">Boniface Ivison</t>
  </si>
  <si>
    <t xml:space="preserve">Alberto Elphee</t>
  </si>
  <si>
    <t xml:space="preserve">EPIC100452</t>
  </si>
  <si>
    <t xml:space="preserve">Noll Trenbay</t>
  </si>
  <si>
    <t xml:space="preserve">Candie Truckell</t>
  </si>
  <si>
    <t xml:space="preserve">EPIC100453</t>
  </si>
  <si>
    <t xml:space="preserve">Freedman Parman</t>
  </si>
  <si>
    <t xml:space="preserve">Fritz Stennard</t>
  </si>
  <si>
    <t xml:space="preserve">EPIC100454</t>
  </si>
  <si>
    <t xml:space="preserve">Joy Carrack</t>
  </si>
  <si>
    <t xml:space="preserve">Lek Woehler</t>
  </si>
  <si>
    <t xml:space="preserve">EPIC100455</t>
  </si>
  <si>
    <t xml:space="preserve">Wyndham McLemon</t>
  </si>
  <si>
    <t xml:space="preserve">Amaleta Mutlow</t>
  </si>
  <si>
    <t xml:space="preserve">EPIC100456</t>
  </si>
  <si>
    <t xml:space="preserve">Titus Whitford</t>
  </si>
  <si>
    <t xml:space="preserve">Nichole Ebbage</t>
  </si>
  <si>
    <t xml:space="preserve">EPIC100457</t>
  </si>
  <si>
    <t xml:space="preserve">Wildon Strethill</t>
  </si>
  <si>
    <t xml:space="preserve">Margareta Kulvear</t>
  </si>
  <si>
    <t xml:space="preserve">EPIC100458</t>
  </si>
  <si>
    <t xml:space="preserve">Cordula Killingsworth</t>
  </si>
  <si>
    <t xml:space="preserve">Carol-jean Gebuhr</t>
  </si>
  <si>
    <t xml:space="preserve">EPIC100459</t>
  </si>
  <si>
    <t xml:space="preserve">Antonio Moffat</t>
  </si>
  <si>
    <t xml:space="preserve">Temple Murdie</t>
  </si>
  <si>
    <t xml:space="preserve">EPIC100460</t>
  </si>
  <si>
    <t xml:space="preserve">Jerri Allan</t>
  </si>
  <si>
    <t xml:space="preserve">Clemmy Follitt</t>
  </si>
  <si>
    <t xml:space="preserve">EPIC100461</t>
  </si>
  <si>
    <t xml:space="preserve">Elisabet Seear</t>
  </si>
  <si>
    <t xml:space="preserve">Abrahan Tongs</t>
  </si>
  <si>
    <t xml:space="preserve">EPIC100462</t>
  </si>
  <si>
    <t xml:space="preserve">Clementine Morten</t>
  </si>
  <si>
    <t xml:space="preserve">Noni Eustes</t>
  </si>
  <si>
    <t xml:space="preserve">EPIC100463</t>
  </si>
  <si>
    <t xml:space="preserve">Maggi Willoughley</t>
  </si>
  <si>
    <t xml:space="preserve">Melodee Bagnell</t>
  </si>
  <si>
    <t xml:space="preserve">EPIC100464</t>
  </si>
  <si>
    <t xml:space="preserve">Paco Eltringham</t>
  </si>
  <si>
    <t xml:space="preserve">Stefa Snaden</t>
  </si>
  <si>
    <t xml:space="preserve">EPIC100465</t>
  </si>
  <si>
    <t xml:space="preserve">Crawford Roney</t>
  </si>
  <si>
    <t xml:space="preserve">Felicle Oxenden</t>
  </si>
  <si>
    <t xml:space="preserve">EPIC100466</t>
  </si>
  <si>
    <t xml:space="preserve">Prent Kither</t>
  </si>
  <si>
    <t xml:space="preserve">Ruddy Rutty</t>
  </si>
  <si>
    <t xml:space="preserve">EPIC100467</t>
  </si>
  <si>
    <t xml:space="preserve">Homer Hansemann</t>
  </si>
  <si>
    <t xml:space="preserve">Johnette Mateiko</t>
  </si>
  <si>
    <t xml:space="preserve">EPIC100468</t>
  </si>
  <si>
    <t xml:space="preserve">Binny D'Costa</t>
  </si>
  <si>
    <t xml:space="preserve">Zelda Orrill</t>
  </si>
  <si>
    <t xml:space="preserve">EPIC100469</t>
  </si>
  <si>
    <t xml:space="preserve">Rafi Schooling</t>
  </si>
  <si>
    <t xml:space="preserve">Dulcy Rue</t>
  </si>
  <si>
    <t xml:space="preserve">EPIC100470</t>
  </si>
  <si>
    <t xml:space="preserve">Selena Hark</t>
  </si>
  <si>
    <t xml:space="preserve">Averill Lickess</t>
  </si>
  <si>
    <t xml:space="preserve">EPIC100471</t>
  </si>
  <si>
    <t xml:space="preserve">Temple Linnit</t>
  </si>
  <si>
    <t xml:space="preserve">Tallia Celler</t>
  </si>
  <si>
    <t xml:space="preserve">EPIC100472</t>
  </si>
  <si>
    <t xml:space="preserve">Samara Rudall</t>
  </si>
  <si>
    <t xml:space="preserve">Julienne Drysdell</t>
  </si>
  <si>
    <t xml:space="preserve">EPIC100473</t>
  </si>
  <si>
    <t xml:space="preserve">Latisha Scrigmour</t>
  </si>
  <si>
    <t xml:space="preserve">Jamesy Dory</t>
  </si>
  <si>
    <t xml:space="preserve">EPIC100474</t>
  </si>
  <si>
    <t xml:space="preserve">Vanya MacTrusty</t>
  </si>
  <si>
    <t xml:space="preserve">Rochette Maha</t>
  </si>
  <si>
    <t xml:space="preserve">EPIC100475</t>
  </si>
  <si>
    <t xml:space="preserve">Crawford Pead</t>
  </si>
  <si>
    <t xml:space="preserve">Freedman Colpus</t>
  </si>
  <si>
    <t xml:space="preserve">EPIC100476</t>
  </si>
  <si>
    <t xml:space="preserve">Penny Cabera</t>
  </si>
  <si>
    <t xml:space="preserve">Errick Kilduff</t>
  </si>
  <si>
    <t xml:space="preserve">EPIC100477</t>
  </si>
  <si>
    <t xml:space="preserve">Marilin Latty</t>
  </si>
  <si>
    <t xml:space="preserve">Benny Lehrer</t>
  </si>
  <si>
    <t xml:space="preserve">EPIC100478</t>
  </si>
  <si>
    <t xml:space="preserve">Karl Simic</t>
  </si>
  <si>
    <t xml:space="preserve">Ivett Berzen</t>
  </si>
  <si>
    <t xml:space="preserve">EPIC100479</t>
  </si>
  <si>
    <t xml:space="preserve">Jobey Broadbear</t>
  </si>
  <si>
    <t xml:space="preserve">Bell Gipson</t>
  </si>
  <si>
    <t xml:space="preserve">EPIC100480</t>
  </si>
  <si>
    <t xml:space="preserve">Giustino Kirtland</t>
  </si>
  <si>
    <t xml:space="preserve">Arel Trenbay</t>
  </si>
  <si>
    <t xml:space="preserve">EPIC100481</t>
  </si>
  <si>
    <t xml:space="preserve">Ondrea O'Heagertie</t>
  </si>
  <si>
    <t xml:space="preserve">Susanne Cooley</t>
  </si>
  <si>
    <t xml:space="preserve">EPIC100482</t>
  </si>
  <si>
    <t xml:space="preserve">Wes Ciccotto</t>
  </si>
  <si>
    <t xml:space="preserve">Sherye Barbour</t>
  </si>
  <si>
    <t xml:space="preserve">EPIC100483</t>
  </si>
  <si>
    <t xml:space="preserve">Avrom Weatherley</t>
  </si>
  <si>
    <t xml:space="preserve">Isabella Mandell</t>
  </si>
  <si>
    <t xml:space="preserve">EPIC100484</t>
  </si>
  <si>
    <t xml:space="preserve">Maryanna Blakebrough</t>
  </si>
  <si>
    <t xml:space="preserve">Teddy Landis</t>
  </si>
  <si>
    <t xml:space="preserve">EPIC100485</t>
  </si>
  <si>
    <t xml:space="preserve">Shayne Alford</t>
  </si>
  <si>
    <t xml:space="preserve">Vernor Kyle</t>
  </si>
  <si>
    <t xml:space="preserve">EPIC100486</t>
  </si>
  <si>
    <t xml:space="preserve">Corine Arnowitz</t>
  </si>
  <si>
    <t xml:space="preserve">Jannelle Ughini</t>
  </si>
  <si>
    <t xml:space="preserve">EPIC100487</t>
  </si>
  <si>
    <t xml:space="preserve">Cynthea Saull</t>
  </si>
  <si>
    <t xml:space="preserve">Isidore Oblein</t>
  </si>
  <si>
    <t xml:space="preserve">EPIC100488</t>
  </si>
  <si>
    <t xml:space="preserve">Nelli Rhys</t>
  </si>
  <si>
    <t xml:space="preserve">Lynna Chasle</t>
  </si>
  <si>
    <t xml:space="preserve">EPIC100489</t>
  </si>
  <si>
    <t xml:space="preserve">Ellynn McPhater</t>
  </si>
  <si>
    <t xml:space="preserve">Tommie O'Carran</t>
  </si>
  <si>
    <t xml:space="preserve">EPIC100490</t>
  </si>
  <si>
    <t xml:space="preserve">Durand Stallebrass</t>
  </si>
  <si>
    <t xml:space="preserve">Ignace Kleinbaum</t>
  </si>
  <si>
    <t xml:space="preserve">EPIC100491</t>
  </si>
  <si>
    <t xml:space="preserve">Frederigo MacScherie</t>
  </si>
  <si>
    <t xml:space="preserve">Lucien Brendish</t>
  </si>
  <si>
    <t xml:space="preserve">EPIC100492</t>
  </si>
  <si>
    <t xml:space="preserve">Kat Lackeye</t>
  </si>
  <si>
    <t xml:space="preserve">Salomo Crannell</t>
  </si>
  <si>
    <t xml:space="preserve">EPIC100493</t>
  </si>
  <si>
    <t xml:space="preserve">Tailor Blannin</t>
  </si>
  <si>
    <t xml:space="preserve">Burr Cruddas</t>
  </si>
  <si>
    <t xml:space="preserve">EPIC100494</t>
  </si>
  <si>
    <t xml:space="preserve">Bard Hogbourne</t>
  </si>
  <si>
    <t xml:space="preserve">Karolina Wight</t>
  </si>
  <si>
    <t xml:space="preserve">EPIC100495</t>
  </si>
  <si>
    <t xml:space="preserve">Patsy Rubberts</t>
  </si>
  <si>
    <t xml:space="preserve">Susanna McTurley</t>
  </si>
  <si>
    <t xml:space="preserve">EPIC100496</t>
  </si>
  <si>
    <t xml:space="preserve">Florella Goodright</t>
  </si>
  <si>
    <t xml:space="preserve">Robert Wybrew</t>
  </si>
  <si>
    <t xml:space="preserve">EPIC100497</t>
  </si>
  <si>
    <t xml:space="preserve">Ysabel Allenby</t>
  </si>
  <si>
    <t xml:space="preserve">Gertrude Beaton</t>
  </si>
  <si>
    <t xml:space="preserve">EPIC100498</t>
  </si>
  <si>
    <t xml:space="preserve">Kayla Abrahami</t>
  </si>
  <si>
    <t xml:space="preserve">Rhianon Witherup</t>
  </si>
  <si>
    <t xml:space="preserve">EPIC100499</t>
  </si>
  <si>
    <t xml:space="preserve">Elfrieda Kezor</t>
  </si>
  <si>
    <t xml:space="preserve">Domenico Wyre</t>
  </si>
  <si>
    <t xml:space="preserve">EPIC100500</t>
  </si>
  <si>
    <t xml:space="preserve">Justino Danis</t>
  </si>
  <si>
    <t xml:space="preserve">Julietta Stonhouse</t>
  </si>
  <si>
    <t xml:space="preserve">EPIC100501</t>
  </si>
  <si>
    <t xml:space="preserve">Lorita O'Geneay</t>
  </si>
  <si>
    <t xml:space="preserve">Alfredo Gear</t>
  </si>
  <si>
    <t xml:space="preserve">EPIC100502</t>
  </si>
  <si>
    <t xml:space="preserve">Annadiane Guinn</t>
  </si>
  <si>
    <t xml:space="preserve">August Brinded</t>
  </si>
  <si>
    <t xml:space="preserve">EPIC100503</t>
  </si>
  <si>
    <t xml:space="preserve">Budd Trevers</t>
  </si>
  <si>
    <t xml:space="preserve">Loella Trevains</t>
  </si>
  <si>
    <t xml:space="preserve">EPIC100504</t>
  </si>
  <si>
    <t xml:space="preserve">Marv Amberger</t>
  </si>
  <si>
    <t xml:space="preserve">Nero Sheara</t>
  </si>
  <si>
    <t xml:space="preserve">EPIC100505</t>
  </si>
  <si>
    <t xml:space="preserve">Biron Mc Gaughey</t>
  </si>
  <si>
    <t xml:space="preserve">Bevan Tong</t>
  </si>
  <si>
    <t xml:space="preserve">EPIC100506</t>
  </si>
  <si>
    <t xml:space="preserve">Louisette O'Quin</t>
  </si>
  <si>
    <t xml:space="preserve">Rickie Edgeller</t>
  </si>
  <si>
    <t xml:space="preserve">EPIC100507</t>
  </si>
  <si>
    <t xml:space="preserve">Lindsy MacNeill</t>
  </si>
  <si>
    <t xml:space="preserve">Cara Maleck</t>
  </si>
  <si>
    <t xml:space="preserve">EPIC100508</t>
  </si>
  <si>
    <t xml:space="preserve">Curtis Battye</t>
  </si>
  <si>
    <t xml:space="preserve">Jozef Shekle</t>
  </si>
  <si>
    <t xml:space="preserve">EPIC100509</t>
  </si>
  <si>
    <t xml:space="preserve">Hendrika Ballston</t>
  </si>
  <si>
    <t xml:space="preserve">Melli Donnellan</t>
  </si>
  <si>
    <t xml:space="preserve">EPIC100510</t>
  </si>
  <si>
    <t xml:space="preserve">Jackie Hixley</t>
  </si>
  <si>
    <t xml:space="preserve">Barbara-anne Bruford</t>
  </si>
  <si>
    <t xml:space="preserve">EPIC100511</t>
  </si>
  <si>
    <t xml:space="preserve">Daniel Temblett</t>
  </si>
  <si>
    <t xml:space="preserve">Hi Werny</t>
  </si>
  <si>
    <t xml:space="preserve">EPIC100512</t>
  </si>
  <si>
    <t xml:space="preserve">Yale Lucken</t>
  </si>
  <si>
    <t xml:space="preserve">Tris Scraney</t>
  </si>
  <si>
    <t xml:space="preserve">EPIC100513</t>
  </si>
  <si>
    <t xml:space="preserve">Tilly Moine</t>
  </si>
  <si>
    <t xml:space="preserve">Leigh Minerdo</t>
  </si>
  <si>
    <t xml:space="preserve">EPIC100514</t>
  </si>
  <si>
    <t xml:space="preserve">Steffen Carlucci</t>
  </si>
  <si>
    <t xml:space="preserve">Evania Rushbrook</t>
  </si>
  <si>
    <t xml:space="preserve">EPIC100515</t>
  </si>
  <si>
    <t xml:space="preserve">Joyous Cadogan</t>
  </si>
  <si>
    <t xml:space="preserve">Mychal Keems</t>
  </si>
  <si>
    <t xml:space="preserve">EPIC100516</t>
  </si>
  <si>
    <t xml:space="preserve">Fanchette Domokos</t>
  </si>
  <si>
    <t xml:space="preserve">Alfred Machent</t>
  </si>
  <si>
    <t xml:space="preserve">EPIC100517</t>
  </si>
  <si>
    <t xml:space="preserve">Sherman Kuhle</t>
  </si>
  <si>
    <t xml:space="preserve">Tracy Hunston</t>
  </si>
  <si>
    <t xml:space="preserve">EPIC100518</t>
  </si>
  <si>
    <t xml:space="preserve">Dominique Thulborn</t>
  </si>
  <si>
    <t xml:space="preserve">Gabriel Joderli</t>
  </si>
  <si>
    <t xml:space="preserve">EPIC100519</t>
  </si>
  <si>
    <t xml:space="preserve">Tanner Kuschek</t>
  </si>
  <si>
    <t xml:space="preserve">Marice Montes</t>
  </si>
  <si>
    <t xml:space="preserve">EPIC100520</t>
  </si>
  <si>
    <t xml:space="preserve">Pepito Lattimore</t>
  </si>
  <si>
    <t xml:space="preserve">Celina Shepley</t>
  </si>
  <si>
    <t xml:space="preserve">EPIC100521</t>
  </si>
  <si>
    <t xml:space="preserve">Neda Lednor</t>
  </si>
  <si>
    <t xml:space="preserve">Erastus Shaudfurth</t>
  </si>
  <si>
    <t xml:space="preserve">EPIC100522</t>
  </si>
  <si>
    <t xml:space="preserve">Minta Chamley</t>
  </si>
  <si>
    <t xml:space="preserve">Keriann Kivlehan</t>
  </si>
  <si>
    <t xml:space="preserve">EPIC100523</t>
  </si>
  <si>
    <t xml:space="preserve">Ingemar Peschka</t>
  </si>
  <si>
    <t xml:space="preserve">Janeta Devons</t>
  </si>
  <si>
    <t xml:space="preserve">EPIC100524</t>
  </si>
  <si>
    <t xml:space="preserve">Starr Lewry</t>
  </si>
  <si>
    <t xml:space="preserve">Isidore Nulty</t>
  </si>
  <si>
    <t xml:space="preserve">EPIC100525</t>
  </si>
  <si>
    <t xml:space="preserve">Raquela Normadell</t>
  </si>
  <si>
    <t xml:space="preserve">Darrin Eberle</t>
  </si>
  <si>
    <t xml:space="preserve">EPIC100526</t>
  </si>
  <si>
    <t xml:space="preserve">Jeffry Couvet</t>
  </si>
  <si>
    <t xml:space="preserve">Hyacinthe Kliment</t>
  </si>
  <si>
    <t xml:space="preserve">EPIC100527</t>
  </si>
  <si>
    <t xml:space="preserve">Rachael Hubback</t>
  </si>
  <si>
    <t xml:space="preserve">Myrvyn Asple</t>
  </si>
  <si>
    <t xml:space="preserve">EPIC100528</t>
  </si>
  <si>
    <t xml:space="preserve">Craig Slatter</t>
  </si>
  <si>
    <t xml:space="preserve">Caldwell Parlott</t>
  </si>
  <si>
    <t xml:space="preserve">EPIC100529</t>
  </si>
  <si>
    <t xml:space="preserve">Wenda Houndesome</t>
  </si>
  <si>
    <t xml:space="preserve">Merrel Mingard</t>
  </si>
  <si>
    <t xml:space="preserve">EPIC100530</t>
  </si>
  <si>
    <t xml:space="preserve">Fabio Marriot</t>
  </si>
  <si>
    <t xml:space="preserve">Almeda Lowde</t>
  </si>
  <si>
    <t xml:space="preserve">EPIC100531</t>
  </si>
  <si>
    <t xml:space="preserve">Genia Leger</t>
  </si>
  <si>
    <t xml:space="preserve">Rivi Sollis</t>
  </si>
  <si>
    <t xml:space="preserve">EPIC100532</t>
  </si>
  <si>
    <t xml:space="preserve">Sabine Hawkins</t>
  </si>
  <si>
    <t xml:space="preserve">Briana Forsard</t>
  </si>
  <si>
    <t xml:space="preserve">EPIC100533</t>
  </si>
  <si>
    <t xml:space="preserve">Gizela Lumsdon</t>
  </si>
  <si>
    <t xml:space="preserve">Shea Tudhope</t>
  </si>
  <si>
    <t xml:space="preserve">EPIC100534</t>
  </si>
  <si>
    <t xml:space="preserve">Laurens Tumility</t>
  </si>
  <si>
    <t xml:space="preserve">Edik Spondley</t>
  </si>
  <si>
    <t xml:space="preserve">EPIC100535</t>
  </si>
  <si>
    <t xml:space="preserve">Virginie Haig</t>
  </si>
  <si>
    <t xml:space="preserve">Bourke Corsham</t>
  </si>
  <si>
    <t xml:space="preserve">EPIC100536</t>
  </si>
  <si>
    <t xml:space="preserve">Court Piesold</t>
  </si>
  <si>
    <t xml:space="preserve">Pansy Edgley</t>
  </si>
  <si>
    <t xml:space="preserve">EPIC100537</t>
  </si>
  <si>
    <t xml:space="preserve">Forbes Calven</t>
  </si>
  <si>
    <t xml:space="preserve">Veronike Paullin</t>
  </si>
  <si>
    <t xml:space="preserve">EPIC100538</t>
  </si>
  <si>
    <t xml:space="preserve">Teresa Langtree</t>
  </si>
  <si>
    <t xml:space="preserve">Cybil McCaffrey</t>
  </si>
  <si>
    <t xml:space="preserve">EPIC100539</t>
  </si>
  <si>
    <t xml:space="preserve">Jewell Reeves</t>
  </si>
  <si>
    <t xml:space="preserve">Hashim Kidner</t>
  </si>
  <si>
    <t xml:space="preserve">EPIC100540</t>
  </si>
  <si>
    <t xml:space="preserve">Dina Bullcock</t>
  </si>
  <si>
    <t xml:space="preserve">Harwilll Gloyens</t>
  </si>
  <si>
    <t xml:space="preserve">EPIC100541</t>
  </si>
  <si>
    <t xml:space="preserve">Kerby Ciotto</t>
  </si>
  <si>
    <t xml:space="preserve">Anderea Loudyan</t>
  </si>
  <si>
    <t xml:space="preserve">EPIC100542</t>
  </si>
  <si>
    <t xml:space="preserve">Jesselyn Livingstone</t>
  </si>
  <si>
    <t xml:space="preserve">Gert McVaugh</t>
  </si>
  <si>
    <t xml:space="preserve">EPIC100543</t>
  </si>
  <si>
    <t xml:space="preserve">Minni Gerson</t>
  </si>
  <si>
    <t xml:space="preserve">Horatio Wattisham</t>
  </si>
  <si>
    <t xml:space="preserve">EPIC100544</t>
  </si>
  <si>
    <t xml:space="preserve">Bendick Joseph</t>
  </si>
  <si>
    <t xml:space="preserve">Juditha Pierri</t>
  </si>
  <si>
    <t xml:space="preserve">EPIC100545</t>
  </si>
  <si>
    <t xml:space="preserve">Audra de Almeida</t>
  </si>
  <si>
    <t xml:space="preserve">Ivonne Caghy</t>
  </si>
  <si>
    <t xml:space="preserve">EPIC100546</t>
  </si>
  <si>
    <t xml:space="preserve">Ronny Fulks</t>
  </si>
  <si>
    <t xml:space="preserve">Abbe Neill</t>
  </si>
  <si>
    <t xml:space="preserve">EPIC100547</t>
  </si>
  <si>
    <t xml:space="preserve">Diann Anthoine</t>
  </si>
  <si>
    <t xml:space="preserve">Marti Loveredge</t>
  </si>
  <si>
    <t xml:space="preserve">EPIC100548</t>
  </si>
  <si>
    <t xml:space="preserve">Luella Prew</t>
  </si>
  <si>
    <t xml:space="preserve">Fredi Longmuir</t>
  </si>
  <si>
    <t xml:space="preserve">EPIC100549</t>
  </si>
  <si>
    <t xml:space="preserve">Marguerite Local</t>
  </si>
  <si>
    <t xml:space="preserve">Tanner Tofano</t>
  </si>
  <si>
    <t xml:space="preserve">EPIC100550</t>
  </si>
  <si>
    <t xml:space="preserve">Cart Craggs</t>
  </si>
  <si>
    <t xml:space="preserve">Shandy Soffe</t>
  </si>
  <si>
    <t xml:space="preserve">EPIC100551</t>
  </si>
  <si>
    <t xml:space="preserve">Johny Earney</t>
  </si>
  <si>
    <t xml:space="preserve">Alanson Blades</t>
  </si>
  <si>
    <t xml:space="preserve">EPIC100552</t>
  </si>
  <si>
    <t xml:space="preserve">Heinrick Swyer</t>
  </si>
  <si>
    <t xml:space="preserve">Barton Grugerr</t>
  </si>
  <si>
    <t xml:space="preserve">EPIC100553</t>
  </si>
  <si>
    <t xml:space="preserve">Valentia Cousen</t>
  </si>
  <si>
    <t xml:space="preserve">Noel Mikalski</t>
  </si>
  <si>
    <t xml:space="preserve">EPIC100554</t>
  </si>
  <si>
    <t xml:space="preserve">Ugo Blenkinsop</t>
  </si>
  <si>
    <t xml:space="preserve">Gerianne Barby</t>
  </si>
  <si>
    <t xml:space="preserve">EPIC100555</t>
  </si>
  <si>
    <t xml:space="preserve">Cchaddie Jakes</t>
  </si>
  <si>
    <t xml:space="preserve">Jehanna Trethewey</t>
  </si>
  <si>
    <t xml:space="preserve">EPIC100556</t>
  </si>
  <si>
    <t xml:space="preserve">Merrill Critchlow</t>
  </si>
  <si>
    <t xml:space="preserve">Iain McGrath</t>
  </si>
  <si>
    <t xml:space="preserve">EPIC100557</t>
  </si>
  <si>
    <t xml:space="preserve">Kristoforo Sallarie</t>
  </si>
  <si>
    <t xml:space="preserve">Fenelia Pedder</t>
  </si>
  <si>
    <t xml:space="preserve">EPIC100558</t>
  </si>
  <si>
    <t xml:space="preserve">Ninetta Glaze</t>
  </si>
  <si>
    <t xml:space="preserve">Brocky Monkeman</t>
  </si>
  <si>
    <t xml:space="preserve">EPIC100559</t>
  </si>
  <si>
    <t xml:space="preserve">Doris Bewick</t>
  </si>
  <si>
    <t xml:space="preserve">Pia Pattisson</t>
  </si>
  <si>
    <t xml:space="preserve">EPIC100560</t>
  </si>
  <si>
    <t xml:space="preserve">Emmanuel Balf</t>
  </si>
  <si>
    <t xml:space="preserve">Phyllis Clulee</t>
  </si>
  <si>
    <t xml:space="preserve">EPIC100561</t>
  </si>
  <si>
    <t xml:space="preserve">Niven Leathes</t>
  </si>
  <si>
    <t xml:space="preserve">Correy Blackden</t>
  </si>
  <si>
    <t xml:space="preserve">EPIC100562</t>
  </si>
  <si>
    <t xml:space="preserve">Dalli Rikard</t>
  </si>
  <si>
    <t xml:space="preserve">Rosemary Coat</t>
  </si>
  <si>
    <t xml:space="preserve">EPIC100563</t>
  </si>
  <si>
    <t xml:space="preserve">Christyna Laxtonne</t>
  </si>
  <si>
    <t xml:space="preserve">Deeann Crutch</t>
  </si>
  <si>
    <t xml:space="preserve">EPIC100564</t>
  </si>
  <si>
    <t xml:space="preserve">Raddy Rizzolo</t>
  </si>
  <si>
    <t xml:space="preserve">Kimberlyn Greatrakes</t>
  </si>
  <si>
    <t xml:space="preserve">EPIC100565</t>
  </si>
  <si>
    <t xml:space="preserve">Andree Lardier</t>
  </si>
  <si>
    <t xml:space="preserve">Jillayne Oxx</t>
  </si>
  <si>
    <t xml:space="preserve">EPIC100566</t>
  </si>
  <si>
    <t xml:space="preserve">Francis Maseyk</t>
  </si>
  <si>
    <t xml:space="preserve">Lynnet Rohloff</t>
  </si>
  <si>
    <t xml:space="preserve">EPIC100567</t>
  </si>
  <si>
    <t xml:space="preserve">Lauritz Dover</t>
  </si>
  <si>
    <t xml:space="preserve">Caesar Lineker</t>
  </si>
  <si>
    <t xml:space="preserve">EPIC100568</t>
  </si>
  <si>
    <t xml:space="preserve">Gherardo Jacketts</t>
  </si>
  <si>
    <t xml:space="preserve">Sula Marrion</t>
  </si>
  <si>
    <t xml:space="preserve">EPIC100569</t>
  </si>
  <si>
    <t xml:space="preserve">Gabie Klaussen</t>
  </si>
  <si>
    <t xml:space="preserve">Shel Cheine</t>
  </si>
  <si>
    <t xml:space="preserve">EPIC100570</t>
  </si>
  <si>
    <t xml:space="preserve">Raleigh Cardenoso</t>
  </si>
  <si>
    <t xml:space="preserve">Desiri Pipping</t>
  </si>
  <si>
    <t xml:space="preserve">EPIC100571</t>
  </si>
  <si>
    <t xml:space="preserve">Gonzales Dinan</t>
  </si>
  <si>
    <t xml:space="preserve">Kiele Leatt</t>
  </si>
  <si>
    <t xml:space="preserve">EPIC100572</t>
  </si>
  <si>
    <t xml:space="preserve">Rosie Sertin</t>
  </si>
  <si>
    <t xml:space="preserve">Vickie Acarson</t>
  </si>
  <si>
    <t xml:space="preserve">EPIC100573</t>
  </si>
  <si>
    <t xml:space="preserve">Aloysius Beall</t>
  </si>
  <si>
    <t xml:space="preserve">Judah Gerritzen</t>
  </si>
  <si>
    <t xml:space="preserve">EPIC100574</t>
  </si>
  <si>
    <t xml:space="preserve">Linell Woolger</t>
  </si>
  <si>
    <t xml:space="preserve">Jandy Bulfit</t>
  </si>
  <si>
    <t xml:space="preserve">EPIC100575</t>
  </si>
  <si>
    <t xml:space="preserve">Willdon Crichmer</t>
  </si>
  <si>
    <t xml:space="preserve">Rocky Gilling</t>
  </si>
  <si>
    <t xml:space="preserve">EPIC100576</t>
  </si>
  <si>
    <t xml:space="preserve">Vivie Renfield</t>
  </si>
  <si>
    <t xml:space="preserve">Melonie Ranstead</t>
  </si>
  <si>
    <t xml:space="preserve">EPIC100577</t>
  </si>
  <si>
    <t xml:space="preserve">Blinny Peile</t>
  </si>
  <si>
    <t xml:space="preserve">Drucie Motto</t>
  </si>
  <si>
    <t xml:space="preserve">EPIC100578</t>
  </si>
  <si>
    <t xml:space="preserve">Meghan Seelbach</t>
  </si>
  <si>
    <t xml:space="preserve">Domenico Warboy</t>
  </si>
  <si>
    <t xml:space="preserve">EPIC100579</t>
  </si>
  <si>
    <t xml:space="preserve">Brooke Younghusband</t>
  </si>
  <si>
    <t xml:space="preserve">Verge Scudamore</t>
  </si>
  <si>
    <t xml:space="preserve">EPIC100580</t>
  </si>
  <si>
    <t xml:space="preserve">Essie Saladine</t>
  </si>
  <si>
    <t xml:space="preserve">Teodora O'Shea</t>
  </si>
  <si>
    <t xml:space="preserve">EPIC100581</t>
  </si>
  <si>
    <t xml:space="preserve">Andy Tuckerman</t>
  </si>
  <si>
    <t xml:space="preserve">Sada Durnill</t>
  </si>
  <si>
    <t xml:space="preserve">EPIC100582</t>
  </si>
  <si>
    <t xml:space="preserve">Elwyn Eddicott</t>
  </si>
  <si>
    <t xml:space="preserve">Marysa Marvel</t>
  </si>
  <si>
    <t xml:space="preserve">EPIC100583</t>
  </si>
  <si>
    <t xml:space="preserve">Rudolf Brightwell</t>
  </si>
  <si>
    <t xml:space="preserve">Celine Fortune</t>
  </si>
  <si>
    <t xml:space="preserve">EPIC100584</t>
  </si>
  <si>
    <t xml:space="preserve">Annie Meaking</t>
  </si>
  <si>
    <t xml:space="preserve">Devora Clougher</t>
  </si>
  <si>
    <t xml:space="preserve">EPIC100585</t>
  </si>
  <si>
    <t xml:space="preserve">Tiertza Orris</t>
  </si>
  <si>
    <t xml:space="preserve">Teresina Farrand</t>
  </si>
  <si>
    <t xml:space="preserve">EPIC100586</t>
  </si>
  <si>
    <t xml:space="preserve">Zahara Estabrook</t>
  </si>
  <si>
    <t xml:space="preserve">Morrie Mcettrick</t>
  </si>
  <si>
    <t xml:space="preserve">EPIC100587</t>
  </si>
  <si>
    <t xml:space="preserve">Eleanora Currm</t>
  </si>
  <si>
    <t xml:space="preserve">Else Incogna</t>
  </si>
  <si>
    <t xml:space="preserve">EPIC100588</t>
  </si>
  <si>
    <t xml:space="preserve">Ambrosi Lauga</t>
  </si>
  <si>
    <t xml:space="preserve">Vail Gradwell</t>
  </si>
  <si>
    <t xml:space="preserve">EPIC100589</t>
  </si>
  <si>
    <t xml:space="preserve">Rosalia Kesby</t>
  </si>
  <si>
    <t xml:space="preserve">Crista Proger</t>
  </si>
  <si>
    <t xml:space="preserve">EPIC100590</t>
  </si>
  <si>
    <t xml:space="preserve">Nerta Mattevi</t>
  </si>
  <si>
    <t xml:space="preserve">Caren Carless</t>
  </si>
  <si>
    <t xml:space="preserve">EPIC100591</t>
  </si>
  <si>
    <t xml:space="preserve">Nannie Crannell</t>
  </si>
  <si>
    <t xml:space="preserve">Martelle Pendell</t>
  </si>
  <si>
    <t xml:space="preserve">EPIC100592</t>
  </si>
  <si>
    <t xml:space="preserve">Janaye McCarthy</t>
  </si>
  <si>
    <t xml:space="preserve">Georges Brewitt</t>
  </si>
  <si>
    <t xml:space="preserve">EPIC100593</t>
  </si>
  <si>
    <t xml:space="preserve">Jenine Cavnor</t>
  </si>
  <si>
    <t xml:space="preserve">Shurlocke Milliere</t>
  </si>
  <si>
    <t xml:space="preserve">EPIC100594</t>
  </si>
  <si>
    <t xml:space="preserve">Freedman Bulford</t>
  </si>
  <si>
    <t xml:space="preserve">Leese Craske</t>
  </si>
  <si>
    <t xml:space="preserve">EPIC100595</t>
  </si>
  <si>
    <t xml:space="preserve">Stan Callaby</t>
  </si>
  <si>
    <t xml:space="preserve">Britteny Dargan</t>
  </si>
  <si>
    <t xml:space="preserve">EPIC100596</t>
  </si>
  <si>
    <t xml:space="preserve">Agosto Ollivier</t>
  </si>
  <si>
    <t xml:space="preserve">Trumann Tyre</t>
  </si>
  <si>
    <t xml:space="preserve">EPIC100597</t>
  </si>
  <si>
    <t xml:space="preserve">Salome Rigard</t>
  </si>
  <si>
    <t xml:space="preserve">Lurline Ratt</t>
  </si>
  <si>
    <t xml:space="preserve">EPIC100598</t>
  </si>
  <si>
    <t xml:space="preserve">Jolyn Garric</t>
  </si>
  <si>
    <t xml:space="preserve">Penelope Briffett</t>
  </si>
  <si>
    <t xml:space="preserve">EPIC100599</t>
  </si>
  <si>
    <t xml:space="preserve">Ellwood Joyes</t>
  </si>
  <si>
    <t xml:space="preserve">Aube Bourdice</t>
  </si>
  <si>
    <t xml:space="preserve">EPIC100600</t>
  </si>
  <si>
    <t xml:space="preserve">Even Synder</t>
  </si>
  <si>
    <t xml:space="preserve">Aarika Cotsford</t>
  </si>
  <si>
    <t xml:space="preserve">EPIC100601</t>
  </si>
  <si>
    <t xml:space="preserve">Gracia Thomelin</t>
  </si>
  <si>
    <t xml:space="preserve">Eamon Von Helmholtz</t>
  </si>
  <si>
    <t xml:space="preserve">EPIC100602</t>
  </si>
  <si>
    <t xml:space="preserve">Gray Bycraft</t>
  </si>
  <si>
    <t xml:space="preserve">Emmit Knatt</t>
  </si>
  <si>
    <t xml:space="preserve">EPIC100603</t>
  </si>
  <si>
    <t xml:space="preserve">Chaunce Eliot</t>
  </si>
  <si>
    <t xml:space="preserve">Lamar Bardey</t>
  </si>
  <si>
    <t xml:space="preserve">EPIC100604</t>
  </si>
  <si>
    <t xml:space="preserve">Tobye Barensen</t>
  </si>
  <si>
    <t xml:space="preserve">Janean Keeping</t>
  </si>
  <si>
    <t xml:space="preserve">EPIC100605</t>
  </si>
  <si>
    <t xml:space="preserve">Ahmad Meneghi</t>
  </si>
  <si>
    <t xml:space="preserve">Edithe Burdett</t>
  </si>
  <si>
    <t xml:space="preserve">EPIC100606</t>
  </si>
  <si>
    <t xml:space="preserve">Gilbert Caunce</t>
  </si>
  <si>
    <t xml:space="preserve">Ivor Trustram</t>
  </si>
  <si>
    <t xml:space="preserve">EPIC100607</t>
  </si>
  <si>
    <t xml:space="preserve">Harald Baxter</t>
  </si>
  <si>
    <t xml:space="preserve">Agatha Burnes</t>
  </si>
  <si>
    <t xml:space="preserve">EPIC100608</t>
  </si>
  <si>
    <t xml:space="preserve">Lesley Koppel</t>
  </si>
  <si>
    <t xml:space="preserve">Fidelity Doxsey</t>
  </si>
  <si>
    <t xml:space="preserve">EPIC100609</t>
  </si>
  <si>
    <t xml:space="preserve">Demetre Fendt</t>
  </si>
  <si>
    <t xml:space="preserve">Julianne Gonthier</t>
  </si>
  <si>
    <t xml:space="preserve">EPIC100610</t>
  </si>
  <si>
    <t xml:space="preserve">Merry Comberbach</t>
  </si>
  <si>
    <t xml:space="preserve">Gaile Copozio</t>
  </si>
  <si>
    <t xml:space="preserve">EPIC100611</t>
  </si>
  <si>
    <t xml:space="preserve">Claudina Colqueran</t>
  </si>
  <si>
    <t xml:space="preserve">Rogers Van Dijk</t>
  </si>
  <si>
    <t xml:space="preserve">EPIC100612</t>
  </si>
  <si>
    <t xml:space="preserve">Frankie Lees</t>
  </si>
  <si>
    <t xml:space="preserve">Worthy MacGuffog</t>
  </si>
  <si>
    <t xml:space="preserve">EPIC100613</t>
  </si>
  <si>
    <t xml:space="preserve">Delainey Whittek</t>
  </si>
  <si>
    <t xml:space="preserve">Miof mela Kydde</t>
  </si>
  <si>
    <t xml:space="preserve">EPIC100614</t>
  </si>
  <si>
    <t xml:space="preserve">Paulette Crouse</t>
  </si>
  <si>
    <t xml:space="preserve">Giacopo Busch</t>
  </si>
  <si>
    <t xml:space="preserve">EPIC100615</t>
  </si>
  <si>
    <t xml:space="preserve">Eberhard Shutt</t>
  </si>
  <si>
    <t xml:space="preserve">Gertrud Ondra</t>
  </si>
  <si>
    <t xml:space="preserve">EPIC100616</t>
  </si>
  <si>
    <t xml:space="preserve">Eadie Hentzeler</t>
  </si>
  <si>
    <t xml:space="preserve">Ty Saing</t>
  </si>
  <si>
    <t xml:space="preserve">EPIC100617</t>
  </si>
  <si>
    <t xml:space="preserve">Shae Arbuckle</t>
  </si>
  <si>
    <t xml:space="preserve">Gertie Slad</t>
  </si>
  <si>
    <t xml:space="preserve">EPIC100618</t>
  </si>
  <si>
    <t xml:space="preserve">Rosana Harrinson</t>
  </si>
  <si>
    <t xml:space="preserve">Charlie Heistermann</t>
  </si>
  <si>
    <t xml:space="preserve">EPIC100619</t>
  </si>
  <si>
    <t xml:space="preserve">Ignazio Jennings</t>
  </si>
  <si>
    <t xml:space="preserve">Ninnetta Perell</t>
  </si>
  <si>
    <t xml:space="preserve">EPIC100620</t>
  </si>
  <si>
    <t xml:space="preserve">Mirabel Hasted</t>
  </si>
  <si>
    <t xml:space="preserve">Ailene Jarrad</t>
  </si>
  <si>
    <t xml:space="preserve">EPIC100621</t>
  </si>
  <si>
    <t xml:space="preserve">Benetta Moorrud</t>
  </si>
  <si>
    <t xml:space="preserve">Gwenora Furmonger</t>
  </si>
  <si>
    <t xml:space="preserve">EPIC100622</t>
  </si>
  <si>
    <t xml:space="preserve">Bastian Algy</t>
  </si>
  <si>
    <t xml:space="preserve">Leslie Janek</t>
  </si>
  <si>
    <t xml:space="preserve">EPIC100623</t>
  </si>
  <si>
    <t xml:space="preserve">May Pamment</t>
  </si>
  <si>
    <t xml:space="preserve">Rodger Rannigan</t>
  </si>
  <si>
    <t xml:space="preserve">EPIC100624</t>
  </si>
  <si>
    <t xml:space="preserve">Neely Eck</t>
  </si>
  <si>
    <t xml:space="preserve">Sullivan Raynes</t>
  </si>
  <si>
    <t xml:space="preserve">EPIC100625</t>
  </si>
  <si>
    <t xml:space="preserve">Nestor Fassbender</t>
  </si>
  <si>
    <t xml:space="preserve">Jasen Kirkup</t>
  </si>
  <si>
    <t xml:space="preserve">EPIC100626</t>
  </si>
  <si>
    <t xml:space="preserve">Jocelin Matous</t>
  </si>
  <si>
    <t xml:space="preserve">Allyn Assiter</t>
  </si>
  <si>
    <t xml:space="preserve">EPIC100627</t>
  </si>
  <si>
    <t xml:space="preserve">Tommie Fargie</t>
  </si>
  <si>
    <t xml:space="preserve">Reinaldo Beven</t>
  </si>
  <si>
    <t xml:space="preserve">EPIC100628</t>
  </si>
  <si>
    <t xml:space="preserve">Gerti Beminster</t>
  </si>
  <si>
    <t xml:space="preserve">Rosa Blaes</t>
  </si>
  <si>
    <t xml:space="preserve">EPIC100629</t>
  </si>
  <si>
    <t xml:space="preserve">Paulie Stables</t>
  </si>
  <si>
    <t xml:space="preserve">Tarrah McVane</t>
  </si>
  <si>
    <t xml:space="preserve">EPIC100630</t>
  </si>
  <si>
    <t xml:space="preserve">Xenia Makin</t>
  </si>
  <si>
    <t xml:space="preserve">Shelli Brolan</t>
  </si>
  <si>
    <t xml:space="preserve">EPIC100631</t>
  </si>
  <si>
    <t xml:space="preserve">Kattie Boord</t>
  </si>
  <si>
    <t xml:space="preserve">Ines Alu</t>
  </si>
  <si>
    <t xml:space="preserve">EPIC100632</t>
  </si>
  <si>
    <t xml:space="preserve">Kermy Savile</t>
  </si>
  <si>
    <t xml:space="preserve">Hamlen Decreuze</t>
  </si>
  <si>
    <t xml:space="preserve">EPIC100633</t>
  </si>
  <si>
    <t xml:space="preserve">Stephanie Anselm</t>
  </si>
  <si>
    <t xml:space="preserve">Josefina Marchello</t>
  </si>
  <si>
    <t xml:space="preserve">EPIC100634</t>
  </si>
  <si>
    <t xml:space="preserve">Donni Marcombe</t>
  </si>
  <si>
    <t xml:space="preserve">Nestor Pegden</t>
  </si>
  <si>
    <t xml:space="preserve">EPIC100635</t>
  </si>
  <si>
    <t xml:space="preserve">Eziechiele Cosbey</t>
  </si>
  <si>
    <t xml:space="preserve">Traver de Tocqueville</t>
  </si>
  <si>
    <t xml:space="preserve">EPIC100636</t>
  </si>
  <si>
    <t xml:space="preserve">Mark Kenwin</t>
  </si>
  <si>
    <t xml:space="preserve">Augustus Pidgley</t>
  </si>
  <si>
    <t xml:space="preserve">EPIC100637</t>
  </si>
  <si>
    <t xml:space="preserve">Farlay Gell</t>
  </si>
  <si>
    <t xml:space="preserve">Tasia Moroney</t>
  </si>
  <si>
    <t xml:space="preserve">EPIC100638</t>
  </si>
  <si>
    <t xml:space="preserve">Allin Brigginshaw</t>
  </si>
  <si>
    <t xml:space="preserve">Fin Timms</t>
  </si>
  <si>
    <t xml:space="preserve">EPIC100639</t>
  </si>
  <si>
    <t xml:space="preserve">Pattie Partington</t>
  </si>
  <si>
    <t xml:space="preserve">Polly Edgell</t>
  </si>
  <si>
    <t xml:space="preserve">EPIC100640</t>
  </si>
  <si>
    <t xml:space="preserve">Chic Moen</t>
  </si>
  <si>
    <t xml:space="preserve">Saundra Sangster</t>
  </si>
  <si>
    <t xml:space="preserve">EPIC100641</t>
  </si>
  <si>
    <t xml:space="preserve">Constancia Bilbrook</t>
  </si>
  <si>
    <t xml:space="preserve">Arnuad Pauer</t>
  </si>
  <si>
    <t xml:space="preserve">EPIC100642</t>
  </si>
  <si>
    <t xml:space="preserve">Donnamarie McGuff</t>
  </si>
  <si>
    <t xml:space="preserve">Palm Siccombe</t>
  </si>
  <si>
    <t xml:space="preserve">EPIC100643</t>
  </si>
  <si>
    <t xml:space="preserve">Danni Tessyman</t>
  </si>
  <si>
    <t xml:space="preserve">Gray Gilman</t>
  </si>
  <si>
    <t xml:space="preserve">EPIC100644</t>
  </si>
  <si>
    <t xml:space="preserve">Lauree Hearsey</t>
  </si>
  <si>
    <t xml:space="preserve">Katalin Coling</t>
  </si>
  <si>
    <t xml:space="preserve">EPIC100645</t>
  </si>
  <si>
    <t xml:space="preserve">Grazia Gaukroger</t>
  </si>
  <si>
    <t xml:space="preserve">Neda Moat</t>
  </si>
  <si>
    <t xml:space="preserve">EPIC100646</t>
  </si>
  <si>
    <t xml:space="preserve">Jaye Ludee</t>
  </si>
  <si>
    <t xml:space="preserve">Frasier O'Reagan</t>
  </si>
  <si>
    <t xml:space="preserve">EPIC100647</t>
  </si>
  <si>
    <t xml:space="preserve">Ettore Kirkhouse</t>
  </si>
  <si>
    <t xml:space="preserve">Isahella Pendlebury</t>
  </si>
  <si>
    <t xml:space="preserve">EPIC100648</t>
  </si>
  <si>
    <t xml:space="preserve">Modesta Guinnane</t>
  </si>
  <si>
    <t xml:space="preserve">Shirline Lawty</t>
  </si>
  <si>
    <t xml:space="preserve">EPIC100649</t>
  </si>
  <si>
    <t xml:space="preserve">Golda Riteley</t>
  </si>
  <si>
    <t xml:space="preserve">Mirilla Whittall</t>
  </si>
  <si>
    <t xml:space="preserve">EPIC100650</t>
  </si>
  <si>
    <t xml:space="preserve">Milicent Genders</t>
  </si>
  <si>
    <t xml:space="preserve">Ashil Unwin</t>
  </si>
  <si>
    <t xml:space="preserve">EPIC100651</t>
  </si>
  <si>
    <t xml:space="preserve">Lolly Roscamp</t>
  </si>
  <si>
    <t xml:space="preserve">Rosamund Spere</t>
  </si>
  <si>
    <t xml:space="preserve">EPIC100652</t>
  </si>
  <si>
    <t xml:space="preserve">Gibb Hillyatt</t>
  </si>
  <si>
    <t xml:space="preserve">Nicolis Urwen</t>
  </si>
  <si>
    <t xml:space="preserve">EPIC100653</t>
  </si>
  <si>
    <t xml:space="preserve">Jdavie Mineghelli</t>
  </si>
  <si>
    <t xml:space="preserve">Robbin Jubb</t>
  </si>
  <si>
    <t xml:space="preserve">EPIC100654</t>
  </si>
  <si>
    <t xml:space="preserve">Flem Reary</t>
  </si>
  <si>
    <t xml:space="preserve">Laird Shearme</t>
  </si>
  <si>
    <t xml:space="preserve">EPIC100655</t>
  </si>
  <si>
    <t xml:space="preserve">Lyle Orrow</t>
  </si>
  <si>
    <t xml:space="preserve">Abigale Botwood</t>
  </si>
  <si>
    <t xml:space="preserve">EPIC100656</t>
  </si>
  <si>
    <t xml:space="preserve">Siobhan Higbin</t>
  </si>
  <si>
    <t xml:space="preserve">Mallory Whimpenny</t>
  </si>
  <si>
    <t xml:space="preserve">EPIC100657</t>
  </si>
  <si>
    <t xml:space="preserve">Athena Kirtlan</t>
  </si>
  <si>
    <t xml:space="preserve">Jermain Cawse</t>
  </si>
  <si>
    <t xml:space="preserve">EPIC100658</t>
  </si>
  <si>
    <t xml:space="preserve">Janina Armatage</t>
  </si>
  <si>
    <t xml:space="preserve">Mavra Mathivon</t>
  </si>
  <si>
    <t xml:space="preserve">EPIC100659</t>
  </si>
  <si>
    <t xml:space="preserve">Aimee Christian</t>
  </si>
  <si>
    <t xml:space="preserve">Mata MacEnelly</t>
  </si>
  <si>
    <t xml:space="preserve">EPIC100660</t>
  </si>
  <si>
    <t xml:space="preserve">Rosalinde Kondratenya</t>
  </si>
  <si>
    <t xml:space="preserve">Kalila Ruperto</t>
  </si>
  <si>
    <t xml:space="preserve">EPIC100661</t>
  </si>
  <si>
    <t xml:space="preserve">Verge Balsellie</t>
  </si>
  <si>
    <t xml:space="preserve">Waylen Booij</t>
  </si>
  <si>
    <t xml:space="preserve">EPIC100662</t>
  </si>
  <si>
    <t xml:space="preserve">Tilda Matveyev</t>
  </si>
  <si>
    <t xml:space="preserve">Odetta Piller</t>
  </si>
  <si>
    <t xml:space="preserve">EPIC100663</t>
  </si>
  <si>
    <t xml:space="preserve">Roarke Bampkin</t>
  </si>
  <si>
    <t xml:space="preserve">Dougie Siuda</t>
  </si>
  <si>
    <t xml:space="preserve">EPIC100664</t>
  </si>
  <si>
    <t xml:space="preserve">Demeter Penney</t>
  </si>
  <si>
    <t xml:space="preserve">Yard Mainwaring</t>
  </si>
  <si>
    <t xml:space="preserve">EPIC100665</t>
  </si>
  <si>
    <t xml:space="preserve">Stern Upham</t>
  </si>
  <si>
    <t xml:space="preserve">Imojean Boland</t>
  </si>
  <si>
    <t xml:space="preserve">EPIC100666</t>
  </si>
  <si>
    <t xml:space="preserve">Deerdre Boult</t>
  </si>
  <si>
    <t xml:space="preserve">Nikaniki Feragh</t>
  </si>
  <si>
    <t xml:space="preserve">EPIC100667</t>
  </si>
  <si>
    <t xml:space="preserve">Dara Sheppard</t>
  </si>
  <si>
    <t xml:space="preserve">Nonnah Fowgies</t>
  </si>
  <si>
    <t xml:space="preserve">EPIC100668</t>
  </si>
  <si>
    <t xml:space="preserve">Kylie Glazzard</t>
  </si>
  <si>
    <t xml:space="preserve">Wilhelmina Cunniam</t>
  </si>
  <si>
    <t xml:space="preserve">EPIC100669</t>
  </si>
  <si>
    <t xml:space="preserve">Merl Osburn</t>
  </si>
  <si>
    <t xml:space="preserve">Debera Foyster</t>
  </si>
  <si>
    <t xml:space="preserve">EPIC100670</t>
  </si>
  <si>
    <t xml:space="preserve">Aggi Woodes</t>
  </si>
  <si>
    <t xml:space="preserve">Barry Messager</t>
  </si>
  <si>
    <t xml:space="preserve">EPIC100671</t>
  </si>
  <si>
    <t xml:space="preserve">Candace Meneely</t>
  </si>
  <si>
    <t xml:space="preserve">Bernadette Nuscha</t>
  </si>
  <si>
    <t xml:space="preserve">EPIC100672</t>
  </si>
  <si>
    <t xml:space="preserve">Boothe Tilby</t>
  </si>
  <si>
    <t xml:space="preserve">Myles Cescotti</t>
  </si>
  <si>
    <t xml:space="preserve">EPIC100673</t>
  </si>
  <si>
    <t xml:space="preserve">Sybille Cruickshanks</t>
  </si>
  <si>
    <t xml:space="preserve">Marje Gipp</t>
  </si>
  <si>
    <t xml:space="preserve">EPIC100674</t>
  </si>
  <si>
    <t xml:space="preserve">Rachelle Tousy</t>
  </si>
  <si>
    <t xml:space="preserve">Emily Coultas</t>
  </si>
  <si>
    <t xml:space="preserve">EPIC100675</t>
  </si>
  <si>
    <t xml:space="preserve">Annie Thomkins</t>
  </si>
  <si>
    <t xml:space="preserve">Saul Pagin</t>
  </si>
  <si>
    <t xml:space="preserve">EPIC100676</t>
  </si>
  <si>
    <t xml:space="preserve">Karlis Block</t>
  </si>
  <si>
    <t xml:space="preserve">Jecho Emmatt</t>
  </si>
  <si>
    <t xml:space="preserve">EPIC100677</t>
  </si>
  <si>
    <t xml:space="preserve">Teodoro Crayton</t>
  </si>
  <si>
    <t xml:space="preserve">Somerset Hallock</t>
  </si>
  <si>
    <t xml:space="preserve">EPIC100678</t>
  </si>
  <si>
    <t xml:space="preserve">Amabelle Perkins</t>
  </si>
  <si>
    <t xml:space="preserve">Silvana Dukelow</t>
  </si>
  <si>
    <t xml:space="preserve">EPIC100679</t>
  </si>
  <si>
    <t xml:space="preserve">Clemente Longwood</t>
  </si>
  <si>
    <t xml:space="preserve">Amye Vigers</t>
  </si>
  <si>
    <t xml:space="preserve">EPIC100680</t>
  </si>
  <si>
    <t xml:space="preserve">Ninon Lydiatt</t>
  </si>
  <si>
    <t xml:space="preserve">Jobie Bonnavant</t>
  </si>
  <si>
    <t xml:space="preserve">EPIC100681</t>
  </si>
  <si>
    <t xml:space="preserve">Manuel Abrahmer</t>
  </si>
  <si>
    <t xml:space="preserve">Evered McPeake</t>
  </si>
  <si>
    <t xml:space="preserve">EPIC100682</t>
  </si>
  <si>
    <t xml:space="preserve">Julie Draper</t>
  </si>
  <si>
    <t xml:space="preserve">Rice Cardenosa</t>
  </si>
  <si>
    <t xml:space="preserve">EPIC100683</t>
  </si>
  <si>
    <t xml:space="preserve">Jay Halbeard</t>
  </si>
  <si>
    <t xml:space="preserve">Ignace Sarson</t>
  </si>
  <si>
    <t xml:space="preserve">EPIC100684</t>
  </si>
  <si>
    <t xml:space="preserve">Liuka Quickfall</t>
  </si>
  <si>
    <t xml:space="preserve">Fabian Roswarn</t>
  </si>
  <si>
    <t xml:space="preserve">EPIC100685</t>
  </si>
  <si>
    <t xml:space="preserve">Malachi Roadknight</t>
  </si>
  <si>
    <t xml:space="preserve">Antoni Pressdee</t>
  </si>
  <si>
    <t xml:space="preserve">EPIC100686</t>
  </si>
  <si>
    <t xml:space="preserve">Salomone Heintz</t>
  </si>
  <si>
    <t xml:space="preserve">Zea Viles</t>
  </si>
  <si>
    <t xml:space="preserve">EPIC100687</t>
  </si>
  <si>
    <t xml:space="preserve">Celinka Beglin</t>
  </si>
  <si>
    <t xml:space="preserve">Neel Peizer</t>
  </si>
  <si>
    <t xml:space="preserve">EPIC100688</t>
  </si>
  <si>
    <t xml:space="preserve">Stefa Ilyinykh</t>
  </si>
  <si>
    <t xml:space="preserve">Timoteo Adolthine</t>
  </si>
  <si>
    <t xml:space="preserve">EPIC100689</t>
  </si>
  <si>
    <t xml:space="preserve">Ingram Greenfield</t>
  </si>
  <si>
    <t xml:space="preserve">Freedman De Zamudio</t>
  </si>
  <si>
    <t xml:space="preserve">EPIC100690</t>
  </si>
  <si>
    <t xml:space="preserve">Zorine Huckstepp</t>
  </si>
  <si>
    <t xml:space="preserve">Roxanne Webermann</t>
  </si>
  <si>
    <t xml:space="preserve">EPIC100691</t>
  </si>
  <si>
    <t xml:space="preserve">Kynthia Pinhorn</t>
  </si>
  <si>
    <t xml:space="preserve">Joceline Weal</t>
  </si>
  <si>
    <t xml:space="preserve">EPIC100692</t>
  </si>
  <si>
    <t xml:space="preserve">Siouxie Ezele</t>
  </si>
  <si>
    <t xml:space="preserve">Skipp Szwandt</t>
  </si>
  <si>
    <t xml:space="preserve">EPIC100693</t>
  </si>
  <si>
    <t xml:space="preserve">Stern Whiskerd</t>
  </si>
  <si>
    <t xml:space="preserve">Richmond McGrotty</t>
  </si>
  <si>
    <t xml:space="preserve">EPIC100694</t>
  </si>
  <si>
    <t xml:space="preserve">Frank Phizakarley</t>
  </si>
  <si>
    <t xml:space="preserve">Richmond Euler</t>
  </si>
  <si>
    <t xml:space="preserve">EPIC100695</t>
  </si>
  <si>
    <t xml:space="preserve">Solly Renad</t>
  </si>
  <si>
    <t xml:space="preserve">Karie Gradley</t>
  </si>
  <si>
    <t xml:space="preserve">EPIC100696</t>
  </si>
  <si>
    <t xml:space="preserve">Carree Galbraeth</t>
  </si>
  <si>
    <t xml:space="preserve">Boote Dorracott</t>
  </si>
  <si>
    <t xml:space="preserve">EPIC100697</t>
  </si>
  <si>
    <t xml:space="preserve">Juli Clowney</t>
  </si>
  <si>
    <t xml:space="preserve">Blisse Kerbler</t>
  </si>
  <si>
    <t xml:space="preserve">EPIC100698</t>
  </si>
  <si>
    <t xml:space="preserve">Carver Watkinson</t>
  </si>
  <si>
    <t xml:space="preserve">Ernesto Chard</t>
  </si>
  <si>
    <t xml:space="preserve">EPIC100699</t>
  </si>
  <si>
    <t xml:space="preserve">Rancell Grannell</t>
  </si>
  <si>
    <t xml:space="preserve">Drew Hughman</t>
  </si>
  <si>
    <t xml:space="preserve">EPIC100700</t>
  </si>
  <si>
    <t xml:space="preserve">Arthur Haslen</t>
  </si>
  <si>
    <t xml:space="preserve">Alexa McCool</t>
  </si>
  <si>
    <t xml:space="preserve">EPIC100701</t>
  </si>
  <si>
    <t xml:space="preserve">Maye Sandeland</t>
  </si>
  <si>
    <t xml:space="preserve">Justus Heggman</t>
  </si>
  <si>
    <t xml:space="preserve">EPIC100702</t>
  </si>
  <si>
    <t xml:space="preserve">Benjy Avieson</t>
  </si>
  <si>
    <t xml:space="preserve">Adrienne Slater</t>
  </si>
  <si>
    <t xml:space="preserve">EPIC100703</t>
  </si>
  <si>
    <t xml:space="preserve">Niall Hunnybun</t>
  </si>
  <si>
    <t xml:space="preserve">Anatole Mandy</t>
  </si>
  <si>
    <t xml:space="preserve">EPIC100704</t>
  </si>
  <si>
    <t xml:space="preserve">Valaree Sails</t>
  </si>
  <si>
    <t xml:space="preserve">Felipe Obey</t>
  </si>
  <si>
    <t xml:space="preserve">EPIC100705</t>
  </si>
  <si>
    <t xml:space="preserve">Edsel Proctor</t>
  </si>
  <si>
    <t xml:space="preserve">Tomi Dibsdale</t>
  </si>
  <si>
    <t xml:space="preserve">EPIC100706</t>
  </si>
  <si>
    <t xml:space="preserve">Davin Bouchard</t>
  </si>
  <si>
    <t xml:space="preserve">Gerladina Menear</t>
  </si>
  <si>
    <t xml:space="preserve">EPIC100707</t>
  </si>
  <si>
    <t xml:space="preserve">Nigel Ferber</t>
  </si>
  <si>
    <t xml:space="preserve">Cheslie Kordas</t>
  </si>
  <si>
    <t xml:space="preserve">EPIC100708</t>
  </si>
  <si>
    <t xml:space="preserve">Charleen Liccardi</t>
  </si>
  <si>
    <t xml:space="preserve">Marysa Pursglove</t>
  </si>
  <si>
    <t xml:space="preserve">EPIC100709</t>
  </si>
  <si>
    <t xml:space="preserve">Benyamin Patey</t>
  </si>
  <si>
    <t xml:space="preserve">Constance Lidster</t>
  </si>
  <si>
    <t xml:space="preserve">EPIC100710</t>
  </si>
  <si>
    <t xml:space="preserve">Ketty Lenham</t>
  </si>
  <si>
    <t xml:space="preserve">Vallie Mousdall</t>
  </si>
  <si>
    <t xml:space="preserve">EPIC100711</t>
  </si>
  <si>
    <t xml:space="preserve">Jerry Semrad</t>
  </si>
  <si>
    <t xml:space="preserve">Blayne Scaplehorn</t>
  </si>
  <si>
    <t xml:space="preserve">EPIC100712</t>
  </si>
  <si>
    <t xml:space="preserve">Mozelle Philpott</t>
  </si>
  <si>
    <t xml:space="preserve">Karim Kinner</t>
  </si>
  <si>
    <t xml:space="preserve">EPIC100713</t>
  </si>
  <si>
    <t xml:space="preserve">Francois Pemble</t>
  </si>
  <si>
    <t xml:space="preserve">Lucia McNeill</t>
  </si>
  <si>
    <t xml:space="preserve">EPIC100714</t>
  </si>
  <si>
    <t xml:space="preserve">Timothy Coleridge</t>
  </si>
  <si>
    <t xml:space="preserve">Sindee Gaskins</t>
  </si>
  <si>
    <t xml:space="preserve">EPIC100715</t>
  </si>
  <si>
    <t xml:space="preserve">Opaline Riddich</t>
  </si>
  <si>
    <t xml:space="preserve">Elysia Bettesworth</t>
  </si>
  <si>
    <t xml:space="preserve">EPIC100716</t>
  </si>
  <si>
    <t xml:space="preserve">Courtney Bereford</t>
  </si>
  <si>
    <t xml:space="preserve">Rooney Drinnan</t>
  </si>
  <si>
    <t xml:space="preserve">EPIC100717</t>
  </si>
  <si>
    <t xml:space="preserve">Celine Allder</t>
  </si>
  <si>
    <t xml:space="preserve">Norene Kremer</t>
  </si>
  <si>
    <t xml:space="preserve">EPIC100718</t>
  </si>
  <si>
    <t xml:space="preserve">Emmey Branston</t>
  </si>
  <si>
    <t xml:space="preserve">Vonnie Goulborne</t>
  </si>
  <si>
    <t xml:space="preserve">EPIC100719</t>
  </si>
  <si>
    <t xml:space="preserve">Gothart Farres</t>
  </si>
  <si>
    <t xml:space="preserve">Farra Bonnick</t>
  </si>
  <si>
    <t xml:space="preserve">EPIC100720</t>
  </si>
  <si>
    <t xml:space="preserve">Emmeline Brocklesby</t>
  </si>
  <si>
    <t xml:space="preserve">Drugi Jurczik</t>
  </si>
  <si>
    <t xml:space="preserve">EPIC100721</t>
  </si>
  <si>
    <t xml:space="preserve">Lea Puig</t>
  </si>
  <si>
    <t xml:space="preserve">Jozef Boodle</t>
  </si>
  <si>
    <t xml:space="preserve">EPIC100722</t>
  </si>
  <si>
    <t xml:space="preserve">Kelly Glasser</t>
  </si>
  <si>
    <t xml:space="preserve">Noe Dy</t>
  </si>
  <si>
    <t xml:space="preserve">EPIC100723</t>
  </si>
  <si>
    <t xml:space="preserve">Englebert Andriss</t>
  </si>
  <si>
    <t xml:space="preserve">Minne Sherebrooke</t>
  </si>
  <si>
    <t xml:space="preserve">EPIC100724</t>
  </si>
  <si>
    <t xml:space="preserve">Fanya Raeside</t>
  </si>
  <si>
    <t xml:space="preserve">Dorrie Leuren</t>
  </si>
  <si>
    <t xml:space="preserve">EPIC100725</t>
  </si>
  <si>
    <t xml:space="preserve">Mahala Ganders</t>
  </si>
  <si>
    <t xml:space="preserve">Haze Upton</t>
  </si>
  <si>
    <t xml:space="preserve">EPIC100726</t>
  </si>
  <si>
    <t xml:space="preserve">Sargent Earwaker</t>
  </si>
  <si>
    <t xml:space="preserve">Ash Agglio</t>
  </si>
  <si>
    <t xml:space="preserve">EPIC100727</t>
  </si>
  <si>
    <t xml:space="preserve">Richie Cardoe</t>
  </si>
  <si>
    <t xml:space="preserve">Ferne Leggate</t>
  </si>
  <si>
    <t xml:space="preserve">EPIC100728</t>
  </si>
  <si>
    <t xml:space="preserve">Grenville Cuell</t>
  </si>
  <si>
    <t xml:space="preserve">Gennifer Billing</t>
  </si>
  <si>
    <t xml:space="preserve">EPIC100729</t>
  </si>
  <si>
    <t xml:space="preserve">Mariann Learman</t>
  </si>
  <si>
    <t xml:space="preserve">Archer Colquit</t>
  </si>
  <si>
    <t xml:space="preserve">EPIC100730</t>
  </si>
  <si>
    <t xml:space="preserve">Augusto Burgoine</t>
  </si>
  <si>
    <t xml:space="preserve">Kelly Serraillier</t>
  </si>
  <si>
    <t xml:space="preserve">EPIC100731</t>
  </si>
  <si>
    <t xml:space="preserve">Siffre Peplay</t>
  </si>
  <si>
    <t xml:space="preserve">Devy Jankowski</t>
  </si>
  <si>
    <t xml:space="preserve">EPIC100732</t>
  </si>
  <si>
    <t xml:space="preserve">Levin Thrustle</t>
  </si>
  <si>
    <t xml:space="preserve">Sarge Werendell</t>
  </si>
  <si>
    <t xml:space="preserve">EPIC100733</t>
  </si>
  <si>
    <t xml:space="preserve">Val Brood</t>
  </si>
  <si>
    <t xml:space="preserve">Gabi Joskowitz</t>
  </si>
  <si>
    <t xml:space="preserve">EPIC100734</t>
  </si>
  <si>
    <t xml:space="preserve">Crysta Saggers</t>
  </si>
  <si>
    <t xml:space="preserve">Taffy Abazi</t>
  </si>
  <si>
    <t xml:space="preserve">EPIC100735</t>
  </si>
  <si>
    <t xml:space="preserve">Alric Shafe</t>
  </si>
  <si>
    <t xml:space="preserve">Byrom Hambatch</t>
  </si>
  <si>
    <t xml:space="preserve">EPIC100736</t>
  </si>
  <si>
    <t xml:space="preserve">Estrellita Pollok</t>
  </si>
  <si>
    <t xml:space="preserve">Felice Baroux</t>
  </si>
  <si>
    <t xml:space="preserve">EPIC100737</t>
  </si>
  <si>
    <t xml:space="preserve">Francisca Ironside</t>
  </si>
  <si>
    <t xml:space="preserve">Vanya Howsam</t>
  </si>
  <si>
    <t xml:space="preserve">EPIC100738</t>
  </si>
  <si>
    <t xml:space="preserve">Emmie Schuricht</t>
  </si>
  <si>
    <t xml:space="preserve">Micky Cathie</t>
  </si>
  <si>
    <t xml:space="preserve">EPIC100739</t>
  </si>
  <si>
    <t xml:space="preserve">Bo Murthwaite</t>
  </si>
  <si>
    <t xml:space="preserve">Dael Chrystal</t>
  </si>
  <si>
    <t xml:space="preserve">EPIC100740</t>
  </si>
  <si>
    <t xml:space="preserve">Ami Corston</t>
  </si>
  <si>
    <t xml:space="preserve">Seward Buzine</t>
  </si>
  <si>
    <t xml:space="preserve">EPIC100741</t>
  </si>
  <si>
    <t xml:space="preserve">Kathrine Ranking</t>
  </si>
  <si>
    <t xml:space="preserve">Dulcie Roblin</t>
  </si>
  <si>
    <t xml:space="preserve">EPIC100742</t>
  </si>
  <si>
    <t xml:space="preserve">Deana Bladge</t>
  </si>
  <si>
    <t xml:space="preserve">Chadd Sparhawk</t>
  </si>
  <si>
    <t xml:space="preserve">EPIC100743</t>
  </si>
  <si>
    <t xml:space="preserve">Patricia Devey</t>
  </si>
  <si>
    <t xml:space="preserve">Clem Duffell</t>
  </si>
  <si>
    <t xml:space="preserve">EPIC100744</t>
  </si>
  <si>
    <t xml:space="preserve">Teriann Fancy</t>
  </si>
  <si>
    <t xml:space="preserve">Dre Kirkbride</t>
  </si>
  <si>
    <t xml:space="preserve">EPIC100745</t>
  </si>
  <si>
    <t xml:space="preserve">Gordan Mathouse</t>
  </si>
  <si>
    <t xml:space="preserve">Halie Lipyeat</t>
  </si>
  <si>
    <t xml:space="preserve">EPIC100746</t>
  </si>
  <si>
    <t xml:space="preserve">Deloris Alkins</t>
  </si>
  <si>
    <t xml:space="preserve">Nonah Quarless</t>
  </si>
  <si>
    <t xml:space="preserve">EPIC100747</t>
  </si>
  <si>
    <t xml:space="preserve">Rhiamon Cavanaugh</t>
  </si>
  <si>
    <t xml:space="preserve">Spence Pasque</t>
  </si>
  <si>
    <t xml:space="preserve">EPIC100748</t>
  </si>
  <si>
    <t xml:space="preserve">Frederigo Flade</t>
  </si>
  <si>
    <t xml:space="preserve">Gard Gergolet</t>
  </si>
  <si>
    <t xml:space="preserve">EPIC100749</t>
  </si>
  <si>
    <t xml:space="preserve">Adamo Ficken</t>
  </si>
  <si>
    <t xml:space="preserve">Doria Croxton</t>
  </si>
  <si>
    <t xml:space="preserve">EPIC100750</t>
  </si>
  <si>
    <t xml:space="preserve">Janice Renzini</t>
  </si>
  <si>
    <t xml:space="preserve">Etti Leedal</t>
  </si>
  <si>
    <t xml:space="preserve">EPIC100751</t>
  </si>
  <si>
    <t xml:space="preserve">Lina Bonnyson</t>
  </si>
  <si>
    <t xml:space="preserve">Say Diem</t>
  </si>
  <si>
    <t xml:space="preserve">EPIC100752</t>
  </si>
  <si>
    <t xml:space="preserve">Frankie MacCombe</t>
  </si>
  <si>
    <t xml:space="preserve">Loella Charte</t>
  </si>
  <si>
    <t xml:space="preserve">EPIC100753</t>
  </si>
  <si>
    <t xml:space="preserve">Morie Jantot</t>
  </si>
  <si>
    <t xml:space="preserve">Wylie Awin</t>
  </si>
  <si>
    <t xml:space="preserve">EPIC100754</t>
  </si>
  <si>
    <t xml:space="preserve">Kellen Collis</t>
  </si>
  <si>
    <t xml:space="preserve">Sena Trowsdall</t>
  </si>
  <si>
    <t xml:space="preserve">EPIC100755</t>
  </si>
  <si>
    <t xml:space="preserve">Cass Hooks</t>
  </si>
  <si>
    <t xml:space="preserve">Nana Fantonetti</t>
  </si>
  <si>
    <t xml:space="preserve">EPIC100756</t>
  </si>
  <si>
    <t xml:space="preserve">Maxi Fitzroy</t>
  </si>
  <si>
    <t xml:space="preserve">Tamera Romke</t>
  </si>
  <si>
    <t xml:space="preserve">EPIC100757</t>
  </si>
  <si>
    <t xml:space="preserve">Bertie Donizeau</t>
  </si>
  <si>
    <t xml:space="preserve">Claudius Ioannidis</t>
  </si>
  <si>
    <t xml:space="preserve">EPIC100758</t>
  </si>
  <si>
    <t xml:space="preserve">Guglielma Sarah</t>
  </si>
  <si>
    <t xml:space="preserve">Paule Griffiths</t>
  </si>
  <si>
    <t xml:space="preserve">EPIC100759</t>
  </si>
  <si>
    <t xml:space="preserve">Domenic Brangan</t>
  </si>
  <si>
    <t xml:space="preserve">Viviene Mattheis</t>
  </si>
  <si>
    <t xml:space="preserve">EPIC100760</t>
  </si>
  <si>
    <t xml:space="preserve">Ardeen Hess</t>
  </si>
  <si>
    <t xml:space="preserve">Lezlie Stoner</t>
  </si>
  <si>
    <t xml:space="preserve">EPIC100761</t>
  </si>
  <si>
    <t xml:space="preserve">Dulcinea Matashkin</t>
  </si>
  <si>
    <t xml:space="preserve">Morissa Gatland</t>
  </si>
  <si>
    <t xml:space="preserve">EPIC100762</t>
  </si>
  <si>
    <t xml:space="preserve">Lethia Heater</t>
  </si>
  <si>
    <t xml:space="preserve">Rosella Loines</t>
  </si>
  <si>
    <t xml:space="preserve">EPIC100763</t>
  </si>
  <si>
    <t xml:space="preserve">Sax Redparth</t>
  </si>
  <si>
    <t xml:space="preserve">Rosanna Soonhouse</t>
  </si>
  <si>
    <t xml:space="preserve">EPIC100764</t>
  </si>
  <si>
    <t xml:space="preserve">Skye Ham</t>
  </si>
  <si>
    <t xml:space="preserve">Bentlee Thorlby</t>
  </si>
  <si>
    <t xml:space="preserve">EPIC100765</t>
  </si>
  <si>
    <t xml:space="preserve">Humbert Harmstone</t>
  </si>
  <si>
    <t xml:space="preserve">Raychel Borrow</t>
  </si>
  <si>
    <t xml:space="preserve">EPIC100766</t>
  </si>
  <si>
    <t xml:space="preserve">Valentine Bax</t>
  </si>
  <si>
    <t xml:space="preserve">Mirabelle Chennells</t>
  </si>
  <si>
    <t xml:space="preserve">EPIC100767</t>
  </si>
  <si>
    <t xml:space="preserve">Drake Lum</t>
  </si>
  <si>
    <t xml:space="preserve">Tara Annandale</t>
  </si>
  <si>
    <t xml:space="preserve">EPIC100768</t>
  </si>
  <si>
    <t xml:space="preserve">Kari Bothen</t>
  </si>
  <si>
    <t xml:space="preserve">Audy Jermyn</t>
  </si>
  <si>
    <t xml:space="preserve">EPIC100769</t>
  </si>
  <si>
    <t xml:space="preserve">Kristien Cholwell</t>
  </si>
  <si>
    <t xml:space="preserve">Major Graeser</t>
  </si>
  <si>
    <t xml:space="preserve">EPIC100770</t>
  </si>
  <si>
    <t xml:space="preserve">Almeria Fraanchyonok</t>
  </si>
  <si>
    <t xml:space="preserve">Zandra Poletto</t>
  </si>
  <si>
    <t xml:space="preserve">EPIC100771</t>
  </si>
  <si>
    <t xml:space="preserve">Roxie Frith</t>
  </si>
  <si>
    <t xml:space="preserve">Berkeley Roller</t>
  </si>
  <si>
    <t xml:space="preserve">EPIC100772</t>
  </si>
  <si>
    <t xml:space="preserve">Reamonn Foulds</t>
  </si>
  <si>
    <t xml:space="preserve">Wade Bedminster</t>
  </si>
  <si>
    <t xml:space="preserve">EPIC100773</t>
  </si>
  <si>
    <t xml:space="preserve">Sam Lindholm</t>
  </si>
  <si>
    <t xml:space="preserve">Rachele Poyner</t>
  </si>
  <si>
    <t xml:space="preserve">EPIC100774</t>
  </si>
  <si>
    <t xml:space="preserve">Madge Lindermann</t>
  </si>
  <si>
    <t xml:space="preserve">Yoshi Abbado</t>
  </si>
  <si>
    <t xml:space="preserve">EPIC100775</t>
  </si>
  <si>
    <t xml:space="preserve">Farah Costelloe</t>
  </si>
  <si>
    <t xml:space="preserve">Letti Cowthard</t>
  </si>
  <si>
    <t xml:space="preserve">EPIC100776</t>
  </si>
  <si>
    <t xml:space="preserve">Eilis Alldis</t>
  </si>
  <si>
    <t xml:space="preserve">Nessi Ayscough</t>
  </si>
  <si>
    <t xml:space="preserve">EPIC100777</t>
  </si>
  <si>
    <t xml:space="preserve">Billi Cannan</t>
  </si>
  <si>
    <t xml:space="preserve">Paul Tonn</t>
  </si>
  <si>
    <t xml:space="preserve">EPIC100778</t>
  </si>
  <si>
    <t xml:space="preserve">Weylin Mullin</t>
  </si>
  <si>
    <t xml:space="preserve">Wayland Life</t>
  </si>
  <si>
    <t xml:space="preserve">EPIC100779</t>
  </si>
  <si>
    <t xml:space="preserve">Gabbie Beadham</t>
  </si>
  <si>
    <t xml:space="preserve">Esma Sprowell</t>
  </si>
  <si>
    <t xml:space="preserve">EPIC100780</t>
  </si>
  <si>
    <t xml:space="preserve">Yard Chamberlin</t>
  </si>
  <si>
    <t xml:space="preserve">Wrennie Buret</t>
  </si>
  <si>
    <t xml:space="preserve">EPIC100781</t>
  </si>
  <si>
    <t xml:space="preserve">Claude Kloss</t>
  </si>
  <si>
    <t xml:space="preserve">Valentino Gaule</t>
  </si>
  <si>
    <t xml:space="preserve">EPIC100782</t>
  </si>
  <si>
    <t xml:space="preserve">Erminie Bilbie</t>
  </si>
  <si>
    <t xml:space="preserve">Freddy Suller</t>
  </si>
  <si>
    <t xml:space="preserve">EPIC100783</t>
  </si>
  <si>
    <t xml:space="preserve">Fayette Buckby</t>
  </si>
  <si>
    <t xml:space="preserve">Garold Jacquemet</t>
  </si>
  <si>
    <t xml:space="preserve">EPIC100784</t>
  </si>
  <si>
    <t xml:space="preserve">Paulita Beckham</t>
  </si>
  <si>
    <t xml:space="preserve">Simon Lewry</t>
  </si>
  <si>
    <t xml:space="preserve">EPIC100785</t>
  </si>
  <si>
    <t xml:space="preserve">Janifer Howford</t>
  </si>
  <si>
    <t xml:space="preserve">Ramona Pouton</t>
  </si>
  <si>
    <t xml:space="preserve">EPIC100786</t>
  </si>
  <si>
    <t xml:space="preserve">Benetta Heggadon</t>
  </si>
  <si>
    <t xml:space="preserve">Ari Pennrington</t>
  </si>
  <si>
    <t xml:space="preserve">EPIC100787</t>
  </si>
  <si>
    <t xml:space="preserve">Clea Littlefield</t>
  </si>
  <si>
    <t xml:space="preserve">Obediah Pulster</t>
  </si>
  <si>
    <t xml:space="preserve">EPIC100788</t>
  </si>
  <si>
    <t xml:space="preserve">Sigfried Baldetti</t>
  </si>
  <si>
    <t xml:space="preserve">Hedvige Bayston</t>
  </si>
  <si>
    <t xml:space="preserve">EPIC100789</t>
  </si>
  <si>
    <t xml:space="preserve">Alexis Pye</t>
  </si>
  <si>
    <t xml:space="preserve">Franciska Kropach</t>
  </si>
  <si>
    <t xml:space="preserve">EPIC100790</t>
  </si>
  <si>
    <t xml:space="preserve">Marlowe Krysztowczyk</t>
  </si>
  <si>
    <t xml:space="preserve">Sarita Geibel</t>
  </si>
  <si>
    <t xml:space="preserve">EPIC100791</t>
  </si>
  <si>
    <t xml:space="preserve">Cally Halpine</t>
  </si>
  <si>
    <t xml:space="preserve">Lura Bernardoni</t>
  </si>
  <si>
    <t xml:space="preserve">EPIC100792</t>
  </si>
  <si>
    <t xml:space="preserve">Marius Rumgay</t>
  </si>
  <si>
    <t xml:space="preserve">Tina Jakobsson</t>
  </si>
  <si>
    <t xml:space="preserve">EPIC100793</t>
  </si>
  <si>
    <t xml:space="preserve">Read Shimmans</t>
  </si>
  <si>
    <t xml:space="preserve">Lyell Castanone</t>
  </si>
  <si>
    <t xml:space="preserve">EPIC100794</t>
  </si>
  <si>
    <t xml:space="preserve">Whitney Rapsey</t>
  </si>
  <si>
    <t xml:space="preserve">Sile McFarlan</t>
  </si>
  <si>
    <t xml:space="preserve">EPIC100795</t>
  </si>
  <si>
    <t xml:space="preserve">Julee Yushachkov</t>
  </si>
  <si>
    <t xml:space="preserve">Stanley Van Halen</t>
  </si>
  <si>
    <t xml:space="preserve">EPIC100796</t>
  </si>
  <si>
    <t xml:space="preserve">Ben Ander</t>
  </si>
  <si>
    <t xml:space="preserve">Toby Learman</t>
  </si>
  <si>
    <t xml:space="preserve">EPIC100797</t>
  </si>
  <si>
    <t xml:space="preserve">Neall Jaggi</t>
  </si>
  <si>
    <t xml:space="preserve">Salaidh Gisborne</t>
  </si>
  <si>
    <t xml:space="preserve">EPIC100798</t>
  </si>
  <si>
    <t xml:space="preserve">Lane Trosdall</t>
  </si>
  <si>
    <t xml:space="preserve">Neilla Ballay</t>
  </si>
  <si>
    <t xml:space="preserve">EPIC100799</t>
  </si>
  <si>
    <t xml:space="preserve">Sarette O'Hartnett</t>
  </si>
  <si>
    <t xml:space="preserve">Teodoor Brownhall</t>
  </si>
  <si>
    <t xml:space="preserve">EPIC100800</t>
  </si>
  <si>
    <t xml:space="preserve">Kristos Lundie</t>
  </si>
  <si>
    <t xml:space="preserve">Jacenta Mecco</t>
  </si>
  <si>
    <t xml:space="preserve">EPIC100801</t>
  </si>
  <si>
    <t xml:space="preserve">Eberto Growden</t>
  </si>
  <si>
    <t xml:space="preserve">Flossy Blaisdell</t>
  </si>
  <si>
    <t xml:space="preserve">EPIC100802</t>
  </si>
  <si>
    <t xml:space="preserve">Diane-marie Rozea</t>
  </si>
  <si>
    <t xml:space="preserve">Adeline Girodier</t>
  </si>
  <si>
    <t xml:space="preserve">EPIC100803</t>
  </si>
  <si>
    <t xml:space="preserve">Hali Abramowsky</t>
  </si>
  <si>
    <t xml:space="preserve">Lewes Caizley</t>
  </si>
  <si>
    <t xml:space="preserve">EPIC100804</t>
  </si>
  <si>
    <t xml:space="preserve">Ferd Gorioli</t>
  </si>
  <si>
    <t xml:space="preserve">Audy Roxbee</t>
  </si>
  <si>
    <t xml:space="preserve">EPIC100805</t>
  </si>
  <si>
    <t xml:space="preserve">Poppy Fonzone</t>
  </si>
  <si>
    <t xml:space="preserve">Burl Fairburne</t>
  </si>
  <si>
    <t xml:space="preserve">EPIC100806</t>
  </si>
  <si>
    <t xml:space="preserve">Armstrong Neilan</t>
  </si>
  <si>
    <t xml:space="preserve">Sandy Blindermann</t>
  </si>
  <si>
    <t xml:space="preserve">EPIC100807</t>
  </si>
  <si>
    <t xml:space="preserve">Fannie Sammonds</t>
  </si>
  <si>
    <t xml:space="preserve">Ignaz Edens</t>
  </si>
  <si>
    <t xml:space="preserve">EPIC100808</t>
  </si>
  <si>
    <t xml:space="preserve">Babbie Melson</t>
  </si>
  <si>
    <t xml:space="preserve">Marget Cushe</t>
  </si>
  <si>
    <t xml:space="preserve">EPIC100809</t>
  </si>
  <si>
    <t xml:space="preserve">Barrett Palfrey</t>
  </si>
  <si>
    <t xml:space="preserve">Lorne Nertney</t>
  </si>
  <si>
    <t xml:space="preserve">EPIC100810</t>
  </si>
  <si>
    <t xml:space="preserve">Perkin St Ledger</t>
  </si>
  <si>
    <t xml:space="preserve">Dulcia Skeene</t>
  </si>
  <si>
    <t xml:space="preserve">EPIC100811</t>
  </si>
  <si>
    <t xml:space="preserve">Esme Calderhead</t>
  </si>
  <si>
    <t xml:space="preserve">Roda Beagan</t>
  </si>
  <si>
    <t xml:space="preserve">EPIC100812</t>
  </si>
  <si>
    <t xml:space="preserve">Ellen Sheppard</t>
  </si>
  <si>
    <t xml:space="preserve">Babb Henze</t>
  </si>
  <si>
    <t xml:space="preserve">EPIC100813</t>
  </si>
  <si>
    <t xml:space="preserve">Damian Sharratt</t>
  </si>
  <si>
    <t xml:space="preserve">Adara Mapston</t>
  </si>
  <si>
    <t xml:space="preserve">EPIC100814</t>
  </si>
  <si>
    <t xml:space="preserve">Patrice Perle</t>
  </si>
  <si>
    <t xml:space="preserve">Fredra O'Lehane</t>
  </si>
  <si>
    <t xml:space="preserve">EPIC100815</t>
  </si>
  <si>
    <t xml:space="preserve">Lurline Kemm</t>
  </si>
  <si>
    <t xml:space="preserve">Hasheem Minet</t>
  </si>
  <si>
    <t xml:space="preserve">EPIC100816</t>
  </si>
  <si>
    <t xml:space="preserve">Carmella Bracher</t>
  </si>
  <si>
    <t xml:space="preserve">Myrah Docket</t>
  </si>
  <si>
    <t xml:space="preserve">EPIC100817</t>
  </si>
  <si>
    <t xml:space="preserve">Anastassia Cockayme</t>
  </si>
  <si>
    <t xml:space="preserve">Garrett Torn</t>
  </si>
  <si>
    <t xml:space="preserve">EPIC100818</t>
  </si>
  <si>
    <t xml:space="preserve">Marris Hurler</t>
  </si>
  <si>
    <t xml:space="preserve">Molly Durante</t>
  </si>
  <si>
    <t xml:space="preserve">EPIC100819</t>
  </si>
  <si>
    <t xml:space="preserve">Noellyn Gurg</t>
  </si>
  <si>
    <t xml:space="preserve">Dusty Goodband</t>
  </si>
  <si>
    <t xml:space="preserve">EPIC100820</t>
  </si>
  <si>
    <t xml:space="preserve">Harmonia Treadgold</t>
  </si>
  <si>
    <t xml:space="preserve">Beulah Yoskowitz</t>
  </si>
  <si>
    <t xml:space="preserve">EPIC100821</t>
  </si>
  <si>
    <t xml:space="preserve">Becki Shapcote</t>
  </si>
  <si>
    <t xml:space="preserve">Niel Addekin</t>
  </si>
  <si>
    <t xml:space="preserve">EPIC100822</t>
  </si>
  <si>
    <t xml:space="preserve">Andy Wilce</t>
  </si>
  <si>
    <t xml:space="preserve">Wolfy Harewood</t>
  </si>
  <si>
    <t xml:space="preserve">EPIC100823</t>
  </si>
  <si>
    <t xml:space="preserve">Rozamond Endrighi</t>
  </si>
  <si>
    <t xml:space="preserve">Jamill Pollastrino</t>
  </si>
  <si>
    <t xml:space="preserve">EPIC100824</t>
  </si>
  <si>
    <t xml:space="preserve">Kakalina Cahen</t>
  </si>
  <si>
    <t xml:space="preserve">Victoir McGeorge</t>
  </si>
  <si>
    <t xml:space="preserve">EPIC100825</t>
  </si>
  <si>
    <t xml:space="preserve">Roch Laverty</t>
  </si>
  <si>
    <t xml:space="preserve">Georas Whatham</t>
  </si>
  <si>
    <t xml:space="preserve">EPIC100826</t>
  </si>
  <si>
    <t xml:space="preserve">Tonye Dorey</t>
  </si>
  <si>
    <t xml:space="preserve">Harmony Seatter</t>
  </si>
  <si>
    <t xml:space="preserve">EPIC100827</t>
  </si>
  <si>
    <t xml:space="preserve">Brittani Moral</t>
  </si>
  <si>
    <t xml:space="preserve">Andreana Pressland</t>
  </si>
  <si>
    <t xml:space="preserve">EPIC100828</t>
  </si>
  <si>
    <t xml:space="preserve">Merridie Jedrzejewicz</t>
  </si>
  <si>
    <t xml:space="preserve">Gilburt Klassmann</t>
  </si>
  <si>
    <t xml:space="preserve">EPIC100829</t>
  </si>
  <si>
    <t xml:space="preserve">Hashim Pagin</t>
  </si>
  <si>
    <t xml:space="preserve">Marcille Alger</t>
  </si>
  <si>
    <t xml:space="preserve">EPIC100830</t>
  </si>
  <si>
    <t xml:space="preserve">Josselyn de Courcy</t>
  </si>
  <si>
    <t xml:space="preserve">Ross Ponte</t>
  </si>
  <si>
    <t xml:space="preserve">EPIC100831</t>
  </si>
  <si>
    <t xml:space="preserve">Georgie Haster</t>
  </si>
  <si>
    <t xml:space="preserve">Paula Stirrip</t>
  </si>
  <si>
    <t xml:space="preserve">EPIC100832</t>
  </si>
  <si>
    <t xml:space="preserve">Verge Farrer</t>
  </si>
  <si>
    <t xml:space="preserve">Ernesta Petracci</t>
  </si>
  <si>
    <t xml:space="preserve">EPIC100833</t>
  </si>
  <si>
    <t xml:space="preserve">Catlee Hickisson</t>
  </si>
  <si>
    <t xml:space="preserve">Harvey Mattys</t>
  </si>
  <si>
    <t xml:space="preserve">EPIC100834</t>
  </si>
  <si>
    <t xml:space="preserve">Carola Eisikovitsh</t>
  </si>
  <si>
    <t xml:space="preserve">Zack Frobisher</t>
  </si>
  <si>
    <t xml:space="preserve">EPIC100835</t>
  </si>
  <si>
    <t xml:space="preserve">Tomaso Durrell</t>
  </si>
  <si>
    <t xml:space="preserve">Celestia Websdale</t>
  </si>
  <si>
    <t xml:space="preserve">EPIC100836</t>
  </si>
  <si>
    <t xml:space="preserve">Alexandrina Heaney</t>
  </si>
  <si>
    <t xml:space="preserve">Joyann Vanezis</t>
  </si>
  <si>
    <t xml:space="preserve">EPIC100837</t>
  </si>
  <si>
    <t xml:space="preserve">Saba Lum</t>
  </si>
  <si>
    <t xml:space="preserve">Doris Gladhill</t>
  </si>
  <si>
    <t xml:space="preserve">EPIC100838</t>
  </si>
  <si>
    <t xml:space="preserve">Fernande Sargint</t>
  </si>
  <si>
    <t xml:space="preserve">Emmi Wynn</t>
  </si>
  <si>
    <t xml:space="preserve">EPIC100839</t>
  </si>
  <si>
    <t xml:space="preserve">Isabeau Beddie</t>
  </si>
  <si>
    <t xml:space="preserve">Abramo Margrem</t>
  </si>
  <si>
    <t xml:space="preserve">EPIC100840</t>
  </si>
  <si>
    <t xml:space="preserve">Garold Otto</t>
  </si>
  <si>
    <t xml:space="preserve">Gillie Haquin</t>
  </si>
  <si>
    <t xml:space="preserve">EPIC100841</t>
  </si>
  <si>
    <t xml:space="preserve">Dodi Robroe</t>
  </si>
  <si>
    <t xml:space="preserve">Violet Totton</t>
  </si>
  <si>
    <t xml:space="preserve">EPIC100842</t>
  </si>
  <si>
    <t xml:space="preserve">Georgianna Tousy</t>
  </si>
  <si>
    <t xml:space="preserve">Page Wintour</t>
  </si>
  <si>
    <t xml:space="preserve">EPIC100843</t>
  </si>
  <si>
    <t xml:space="preserve">Kacie McGinny</t>
  </si>
  <si>
    <t xml:space="preserve">Henrietta Clericoates</t>
  </si>
  <si>
    <t xml:space="preserve">EPIC100844</t>
  </si>
  <si>
    <t xml:space="preserve">Rosco Singers</t>
  </si>
  <si>
    <t xml:space="preserve">Pearl Baudet</t>
  </si>
  <si>
    <t xml:space="preserve">EPIC100845</t>
  </si>
  <si>
    <t xml:space="preserve">Teriann Jeeves</t>
  </si>
  <si>
    <t xml:space="preserve">Wittie Dericot</t>
  </si>
  <si>
    <t xml:space="preserve">EPIC100846</t>
  </si>
  <si>
    <t xml:space="preserve">Dniren Hartness</t>
  </si>
  <si>
    <t xml:space="preserve">Joeann Lafoy</t>
  </si>
  <si>
    <t xml:space="preserve">EPIC100847</t>
  </si>
  <si>
    <t xml:space="preserve">Clair Culleford</t>
  </si>
  <si>
    <t xml:space="preserve">Margalit Knoller</t>
  </si>
  <si>
    <t xml:space="preserve">EPIC100848</t>
  </si>
  <si>
    <t xml:space="preserve">Todd Guppie</t>
  </si>
  <si>
    <t xml:space="preserve">Fredia Mairs</t>
  </si>
  <si>
    <t xml:space="preserve">EPIC100849</t>
  </si>
  <si>
    <t xml:space="preserve">Blancha Sawkins</t>
  </si>
  <si>
    <t xml:space="preserve">Marinna Diboll</t>
  </si>
  <si>
    <t xml:space="preserve">EPIC100850</t>
  </si>
  <si>
    <t xml:space="preserve">Tracie Mungham</t>
  </si>
  <si>
    <t xml:space="preserve">Raviv Tribbeck</t>
  </si>
  <si>
    <t xml:space="preserve">EPIC100851</t>
  </si>
  <si>
    <t xml:space="preserve">Cherey Tangye</t>
  </si>
  <si>
    <t xml:space="preserve">Brod Joselson</t>
  </si>
  <si>
    <t xml:space="preserve">EPIC100852</t>
  </si>
  <si>
    <t xml:space="preserve">Charlot Cawood</t>
  </si>
  <si>
    <t xml:space="preserve">Daron Casbourne</t>
  </si>
  <si>
    <t xml:space="preserve">EPIC100853</t>
  </si>
  <si>
    <t xml:space="preserve">Mayer Norcop</t>
  </si>
  <si>
    <t xml:space="preserve">Jamill Ginman</t>
  </si>
  <si>
    <t xml:space="preserve">EPIC100854</t>
  </si>
  <si>
    <t xml:space="preserve">Scotti Jauncey</t>
  </si>
  <si>
    <t xml:space="preserve">Sophey Brierton</t>
  </si>
  <si>
    <t xml:space="preserve">EPIC100855</t>
  </si>
  <si>
    <t xml:space="preserve">Gretel Denington</t>
  </si>
  <si>
    <t xml:space="preserve">Ophelia Edsall</t>
  </si>
  <si>
    <t xml:space="preserve">EPIC100856</t>
  </si>
  <si>
    <t xml:space="preserve">Chelsea Skerman</t>
  </si>
  <si>
    <t xml:space="preserve">Rosanne Verden</t>
  </si>
  <si>
    <t xml:space="preserve">EPIC100857</t>
  </si>
  <si>
    <t xml:space="preserve">Felita Beldam</t>
  </si>
  <si>
    <t xml:space="preserve">Moyna Raxworthy</t>
  </si>
  <si>
    <t xml:space="preserve">EPIC100858</t>
  </si>
  <si>
    <t xml:space="preserve">Bartolomeo Klasing</t>
  </si>
  <si>
    <t xml:space="preserve">Garwin Antonovic</t>
  </si>
  <si>
    <t xml:space="preserve">EPIC100859</t>
  </si>
  <si>
    <t xml:space="preserve">Victor Hiorn</t>
  </si>
  <si>
    <t xml:space="preserve">Caryn Hinksen</t>
  </si>
  <si>
    <t xml:space="preserve">EPIC100860</t>
  </si>
  <si>
    <t xml:space="preserve">Lonnie Yegorov</t>
  </si>
  <si>
    <t xml:space="preserve">Rheba Dunmuir</t>
  </si>
  <si>
    <t xml:space="preserve">EPIC100861</t>
  </si>
  <si>
    <t xml:space="preserve">Jaye Ginnety</t>
  </si>
  <si>
    <t xml:space="preserve">Corella Game</t>
  </si>
  <si>
    <t xml:space="preserve">EPIC100862</t>
  </si>
  <si>
    <t xml:space="preserve">Annalise Clutterham</t>
  </si>
  <si>
    <t xml:space="preserve">Lee Trowl</t>
  </si>
  <si>
    <t xml:space="preserve">EPIC100863</t>
  </si>
  <si>
    <t xml:space="preserve">Garvy Happs</t>
  </si>
  <si>
    <t xml:space="preserve">Brooke Baudinet</t>
  </si>
  <si>
    <t xml:space="preserve">EPIC100864</t>
  </si>
  <si>
    <t xml:space="preserve">Brion Dresser</t>
  </si>
  <si>
    <t xml:space="preserve">Beryl Cereceres</t>
  </si>
  <si>
    <t xml:space="preserve">EPIC100865</t>
  </si>
  <si>
    <t xml:space="preserve">Aileen Franz-Schoninger</t>
  </si>
  <si>
    <t xml:space="preserve">Clay Wittey</t>
  </si>
  <si>
    <t xml:space="preserve">EPIC100866</t>
  </si>
  <si>
    <t xml:space="preserve">Chalmers Le Noire</t>
  </si>
  <si>
    <t xml:space="preserve">Darin Tudball</t>
  </si>
  <si>
    <t xml:space="preserve">EPIC100867</t>
  </si>
  <si>
    <t xml:space="preserve">Dionne Dare</t>
  </si>
  <si>
    <t xml:space="preserve">Isak Chadwyck</t>
  </si>
  <si>
    <t xml:space="preserve">EPIC100868</t>
  </si>
  <si>
    <t xml:space="preserve">Wilow de Quesne</t>
  </si>
  <si>
    <t xml:space="preserve">Jaimie Parnall</t>
  </si>
  <si>
    <t xml:space="preserve">EPIC100869</t>
  </si>
  <si>
    <t xml:space="preserve">Gardner Endley</t>
  </si>
  <si>
    <t xml:space="preserve">Will Quested</t>
  </si>
  <si>
    <t xml:space="preserve">EPIC100870</t>
  </si>
  <si>
    <t xml:space="preserve">Kalindi McGraw</t>
  </si>
  <si>
    <t xml:space="preserve">Suzette Fernandez</t>
  </si>
  <si>
    <t xml:space="preserve">EPIC100871</t>
  </si>
  <si>
    <t xml:space="preserve">Olympia Finnie</t>
  </si>
  <si>
    <t xml:space="preserve">Thea Widdicombe</t>
  </si>
  <si>
    <t xml:space="preserve">EPIC100872</t>
  </si>
  <si>
    <t xml:space="preserve">Cyndia Hing</t>
  </si>
  <si>
    <t xml:space="preserve">Tymothy Moppett</t>
  </si>
  <si>
    <t xml:space="preserve">EPIC100873</t>
  </si>
  <si>
    <t xml:space="preserve">Marti Bushby</t>
  </si>
  <si>
    <t xml:space="preserve">Ola Gainforth</t>
  </si>
  <si>
    <t xml:space="preserve">EPIC100874</t>
  </si>
  <si>
    <t xml:space="preserve">Amil Shearme</t>
  </si>
  <si>
    <t xml:space="preserve">Rand Mandel</t>
  </si>
  <si>
    <t xml:space="preserve">EPIC100875</t>
  </si>
  <si>
    <t xml:space="preserve">Carolin Windley</t>
  </si>
  <si>
    <t xml:space="preserve">Forbes Alaway</t>
  </si>
  <si>
    <t xml:space="preserve">EPIC100876</t>
  </si>
  <si>
    <t xml:space="preserve">Brnaba Snashall</t>
  </si>
  <si>
    <t xml:space="preserve">Hort Hackelton</t>
  </si>
  <si>
    <t xml:space="preserve">EPIC100877</t>
  </si>
  <si>
    <t xml:space="preserve">Martita Alsina</t>
  </si>
  <si>
    <t xml:space="preserve">Mariana Wincer</t>
  </si>
  <si>
    <t xml:space="preserve">EPIC100878</t>
  </si>
  <si>
    <t xml:space="preserve">Bernardine Soulsby</t>
  </si>
  <si>
    <t xml:space="preserve">Alicea Oldall</t>
  </si>
  <si>
    <t xml:space="preserve">EPIC100879</t>
  </si>
  <si>
    <t xml:space="preserve">Cathyleen Kerwen</t>
  </si>
  <si>
    <t xml:space="preserve">Fairfax Braunter</t>
  </si>
  <si>
    <t xml:space="preserve">EPIC100880</t>
  </si>
  <si>
    <t xml:space="preserve">Chalmers Godney</t>
  </si>
  <si>
    <t xml:space="preserve">Geoffrey Barrowcliff</t>
  </si>
  <si>
    <t xml:space="preserve">EPIC100881</t>
  </si>
  <si>
    <t xml:space="preserve">Shirlee Mucklestone</t>
  </si>
  <si>
    <t xml:space="preserve">Reena Jowsey</t>
  </si>
  <si>
    <t xml:space="preserve">EPIC100882</t>
  </si>
  <si>
    <t xml:space="preserve">Fawn Meffan</t>
  </si>
  <si>
    <t xml:space="preserve">Dyane Aleksandrev</t>
  </si>
  <si>
    <t xml:space="preserve">EPIC100883</t>
  </si>
  <si>
    <t xml:space="preserve">Breanne Ellice</t>
  </si>
  <si>
    <t xml:space="preserve">Erika Tiley</t>
  </si>
  <si>
    <t xml:space="preserve">EPIC100884</t>
  </si>
  <si>
    <t xml:space="preserve">Bartolemo Viegas</t>
  </si>
  <si>
    <t xml:space="preserve">Bevin Emmanuel</t>
  </si>
  <si>
    <t xml:space="preserve">EPIC100885</t>
  </si>
  <si>
    <t xml:space="preserve">Lucille McLuckie</t>
  </si>
  <si>
    <t xml:space="preserve">Danya Normanvell</t>
  </si>
  <si>
    <t xml:space="preserve">EPIC100886</t>
  </si>
  <si>
    <t xml:space="preserve">Walsh Bulley</t>
  </si>
  <si>
    <t xml:space="preserve">Garth Okenfold</t>
  </si>
  <si>
    <t xml:space="preserve">EPIC100887</t>
  </si>
  <si>
    <t xml:space="preserve">Rand Gantlett</t>
  </si>
  <si>
    <t xml:space="preserve">Dillon Adnams</t>
  </si>
  <si>
    <t xml:space="preserve">EPIC100888</t>
  </si>
  <si>
    <t xml:space="preserve">Kiah Tooze</t>
  </si>
  <si>
    <t xml:space="preserve">Coleman Bootell</t>
  </si>
  <si>
    <t xml:space="preserve">EPIC100889</t>
  </si>
  <si>
    <t xml:space="preserve">Millie Reaney</t>
  </si>
  <si>
    <t xml:space="preserve">Esdras Glason</t>
  </si>
  <si>
    <t xml:space="preserve">EPIC100890</t>
  </si>
  <si>
    <t xml:space="preserve">Vally Bass</t>
  </si>
  <si>
    <t xml:space="preserve">Kain Schimmang</t>
  </si>
  <si>
    <t xml:space="preserve">EPIC100891</t>
  </si>
  <si>
    <t xml:space="preserve">Theadora Dahill</t>
  </si>
  <si>
    <t xml:space="preserve">Stormi Lippiatt</t>
  </si>
  <si>
    <t xml:space="preserve">EPIC100892</t>
  </si>
  <si>
    <t xml:space="preserve">Johnathan Donovan</t>
  </si>
  <si>
    <t xml:space="preserve">Philis Murname</t>
  </si>
  <si>
    <t xml:space="preserve">EPIC100893</t>
  </si>
  <si>
    <t xml:space="preserve">Chaddy Strete</t>
  </si>
  <si>
    <t xml:space="preserve">Stevena Cater</t>
  </si>
  <si>
    <t xml:space="preserve">EPIC100894</t>
  </si>
  <si>
    <t xml:space="preserve">Giustina Rainbow</t>
  </si>
  <si>
    <t xml:space="preserve">Lovell Safell</t>
  </si>
  <si>
    <t xml:space="preserve">EPIC100895</t>
  </si>
  <si>
    <t xml:space="preserve">Luci Nursey</t>
  </si>
  <si>
    <t xml:space="preserve">Germayne Hyde-Chambers</t>
  </si>
  <si>
    <t xml:space="preserve">EPIC100896</t>
  </si>
  <si>
    <t xml:space="preserve">Christoffer Saffon</t>
  </si>
  <si>
    <t xml:space="preserve">Cyrus Verheijden</t>
  </si>
  <si>
    <t xml:space="preserve">EPIC100897</t>
  </si>
  <si>
    <t xml:space="preserve">Miranda Mycroft</t>
  </si>
  <si>
    <t xml:space="preserve">Vilhelmina Barbary</t>
  </si>
  <si>
    <t xml:space="preserve">EPIC100898</t>
  </si>
  <si>
    <t xml:space="preserve">Cristin Payley</t>
  </si>
  <si>
    <t xml:space="preserve">Reinold Malthouse</t>
  </si>
  <si>
    <t xml:space="preserve">EPIC100899</t>
  </si>
  <si>
    <t xml:space="preserve">Grissel Creddon</t>
  </si>
  <si>
    <t xml:space="preserve">Maureen D'eye</t>
  </si>
  <si>
    <t xml:space="preserve">EPIC100900</t>
  </si>
  <si>
    <t xml:space="preserve">Gabe Twigger</t>
  </si>
  <si>
    <t xml:space="preserve">Concettina Morrilly</t>
  </si>
  <si>
    <t xml:space="preserve">EPIC100901</t>
  </si>
  <si>
    <t xml:space="preserve">Cad Brezlaw</t>
  </si>
  <si>
    <t xml:space="preserve">Ralf Slinn</t>
  </si>
  <si>
    <t xml:space="preserve">EPIC100902</t>
  </si>
  <si>
    <t xml:space="preserve">Desi Shutt</t>
  </si>
  <si>
    <t xml:space="preserve">Emiline Coste</t>
  </si>
  <si>
    <t xml:space="preserve">EPIC100903</t>
  </si>
  <si>
    <t xml:space="preserve">Cyril Free</t>
  </si>
  <si>
    <t xml:space="preserve">Giustino Rablen</t>
  </si>
  <si>
    <t xml:space="preserve">EPIC100904</t>
  </si>
  <si>
    <t xml:space="preserve">Shepherd Bywaters</t>
  </si>
  <si>
    <t xml:space="preserve">Pavla Di Maggio</t>
  </si>
  <si>
    <t xml:space="preserve">EPIC100905</t>
  </si>
  <si>
    <t xml:space="preserve">Helsa Melan</t>
  </si>
  <si>
    <t xml:space="preserve">Byron Mannie</t>
  </si>
  <si>
    <t xml:space="preserve">EPIC100906</t>
  </si>
  <si>
    <t xml:space="preserve">Grata Curd</t>
  </si>
  <si>
    <t xml:space="preserve">Vyky Zmitrichenko</t>
  </si>
  <si>
    <t xml:space="preserve">EPIC100907</t>
  </si>
  <si>
    <t xml:space="preserve">Chance Romaint</t>
  </si>
  <si>
    <t xml:space="preserve">Edwina MacBean</t>
  </si>
  <si>
    <t xml:space="preserve">EPIC100908</t>
  </si>
  <si>
    <t xml:space="preserve">Worthington Kleinhausen</t>
  </si>
  <si>
    <t xml:space="preserve">Marrissa Quaif</t>
  </si>
  <si>
    <t xml:space="preserve">EPIC100909</t>
  </si>
  <si>
    <t xml:space="preserve">Norrie Mora</t>
  </si>
  <si>
    <t xml:space="preserve">Dita Estcourt</t>
  </si>
  <si>
    <t xml:space="preserve">EPIC100910</t>
  </si>
  <si>
    <t xml:space="preserve">Inna Loughan</t>
  </si>
  <si>
    <t xml:space="preserve">Angeline Crawforth</t>
  </si>
  <si>
    <t xml:space="preserve">EPIC100911</t>
  </si>
  <si>
    <t xml:space="preserve">Mellisa Trevaskis</t>
  </si>
  <si>
    <t xml:space="preserve">Kendre Shepstone</t>
  </si>
  <si>
    <t xml:space="preserve">EPIC100912</t>
  </si>
  <si>
    <t xml:space="preserve">Faydra Gauchier</t>
  </si>
  <si>
    <t xml:space="preserve">Jerrilee Igoe</t>
  </si>
  <si>
    <t xml:space="preserve">EPIC100913</t>
  </si>
  <si>
    <t xml:space="preserve">Davine Playhill</t>
  </si>
  <si>
    <t xml:space="preserve">Harmony Sivyer</t>
  </si>
  <si>
    <t xml:space="preserve">EPIC100914</t>
  </si>
  <si>
    <t xml:space="preserve">Kally Carlett</t>
  </si>
  <si>
    <t xml:space="preserve">Alfredo Garie</t>
  </si>
  <si>
    <t xml:space="preserve">EPIC100915</t>
  </si>
  <si>
    <t xml:space="preserve">Esmaria Dulake</t>
  </si>
  <si>
    <t xml:space="preserve">Sascha Gotfrey</t>
  </si>
  <si>
    <t xml:space="preserve">EPIC100916</t>
  </si>
  <si>
    <t xml:space="preserve">Frederick Duesberry</t>
  </si>
  <si>
    <t xml:space="preserve">Oswell Gibby</t>
  </si>
  <si>
    <t xml:space="preserve">EPIC100917</t>
  </si>
  <si>
    <t xml:space="preserve">Dione Soots</t>
  </si>
  <si>
    <t xml:space="preserve">Janeen Westlake</t>
  </si>
  <si>
    <t xml:space="preserve">EPIC100918</t>
  </si>
  <si>
    <t xml:space="preserve">Burt Le Leu</t>
  </si>
  <si>
    <t xml:space="preserve">Nickolai Kinnock</t>
  </si>
  <si>
    <t xml:space="preserve">EPIC100919</t>
  </si>
  <si>
    <t xml:space="preserve">Cody Trundler</t>
  </si>
  <si>
    <t xml:space="preserve">Karna Wrotham</t>
  </si>
  <si>
    <t xml:space="preserve">EPIC100920</t>
  </si>
  <si>
    <t xml:space="preserve">Vitoria Ketcher</t>
  </si>
  <si>
    <t xml:space="preserve">Maxy Flawn</t>
  </si>
  <si>
    <t xml:space="preserve">EPIC100921</t>
  </si>
  <si>
    <t xml:space="preserve">Sib Sigart</t>
  </si>
  <si>
    <t xml:space="preserve">Essy Ledgeway</t>
  </si>
  <si>
    <t xml:space="preserve">EPIC100922</t>
  </si>
  <si>
    <t xml:space="preserve">Seka Andrelli</t>
  </si>
  <si>
    <t xml:space="preserve">Coop Blazey</t>
  </si>
  <si>
    <t xml:space="preserve">EPIC100923</t>
  </si>
  <si>
    <t xml:space="preserve">Thorpe Arbuckle</t>
  </si>
  <si>
    <t xml:space="preserve">Chryste Whellams</t>
  </si>
  <si>
    <t xml:space="preserve">EPIC100924</t>
  </si>
  <si>
    <t xml:space="preserve">Dorothee Choppin</t>
  </si>
  <si>
    <t xml:space="preserve">Shelley Gosenell</t>
  </si>
  <si>
    <t xml:space="preserve">EPIC100925</t>
  </si>
  <si>
    <t xml:space="preserve">Hatty Plinck</t>
  </si>
  <si>
    <t xml:space="preserve">Alecia Ruggs</t>
  </si>
  <si>
    <t xml:space="preserve">EPIC100926</t>
  </si>
  <si>
    <t xml:space="preserve">Aleen Durbann</t>
  </si>
  <si>
    <t xml:space="preserve">Damaris Gouley</t>
  </si>
  <si>
    <t xml:space="preserve">EPIC100927</t>
  </si>
  <si>
    <t xml:space="preserve">Benedetta Melvin</t>
  </si>
  <si>
    <t xml:space="preserve">Arlinda Woodburn</t>
  </si>
  <si>
    <t xml:space="preserve">EPIC100928</t>
  </si>
  <si>
    <t xml:space="preserve">Major Land</t>
  </si>
  <si>
    <t xml:space="preserve">Rhoda Hritzko</t>
  </si>
  <si>
    <t xml:space="preserve">EPIC100929</t>
  </si>
  <si>
    <t xml:space="preserve">Morten McLeman</t>
  </si>
  <si>
    <t xml:space="preserve">Brendan Gergolet</t>
  </si>
  <si>
    <t xml:space="preserve">EPIC100930</t>
  </si>
  <si>
    <t xml:space="preserve">Clary Hann</t>
  </si>
  <si>
    <t xml:space="preserve">Alene Ivanshintsev</t>
  </si>
  <si>
    <t xml:space="preserve">EPIC100931</t>
  </si>
  <si>
    <t xml:space="preserve">Darb Baggarley</t>
  </si>
  <si>
    <t xml:space="preserve">Cosme McKniely</t>
  </si>
  <si>
    <t xml:space="preserve">EPIC100932</t>
  </si>
  <si>
    <t xml:space="preserve">Millie Housin</t>
  </si>
  <si>
    <t xml:space="preserve">Anneliese Hinners</t>
  </si>
  <si>
    <t xml:space="preserve">EPIC100933</t>
  </si>
  <si>
    <t xml:space="preserve">Elfreda Townby</t>
  </si>
  <si>
    <t xml:space="preserve">Gerhardine Guilaem</t>
  </si>
  <si>
    <t xml:space="preserve">EPIC100934</t>
  </si>
  <si>
    <t xml:space="preserve">Bran Strongitharm</t>
  </si>
  <si>
    <t xml:space="preserve">Rhys Greswell</t>
  </si>
  <si>
    <t xml:space="preserve">EPIC100935</t>
  </si>
  <si>
    <t xml:space="preserve">Alexia McQuaid</t>
  </si>
  <si>
    <t xml:space="preserve">Klemens Marcos</t>
  </si>
  <si>
    <t xml:space="preserve">EPIC100936</t>
  </si>
  <si>
    <t xml:space="preserve">Kristen Fenlon</t>
  </si>
  <si>
    <t xml:space="preserve">Lyndell Pinckney</t>
  </si>
  <si>
    <t xml:space="preserve">EPIC100937</t>
  </si>
  <si>
    <t xml:space="preserve">Rora Bambery</t>
  </si>
  <si>
    <t xml:space="preserve">Fidelia Howells</t>
  </si>
  <si>
    <t xml:space="preserve">EPIC100938</t>
  </si>
  <si>
    <t xml:space="preserve">Aline Saunder</t>
  </si>
  <si>
    <t xml:space="preserve">Wynn Hamprecht</t>
  </si>
  <si>
    <t xml:space="preserve">EPIC100939</t>
  </si>
  <si>
    <t xml:space="preserve">Perice Dobey</t>
  </si>
  <si>
    <t xml:space="preserve">Fancy Ion</t>
  </si>
  <si>
    <t xml:space="preserve">EPIC100940</t>
  </si>
  <si>
    <t xml:space="preserve">Chanda Bicheno</t>
  </si>
  <si>
    <t xml:space="preserve">Hollis Espina</t>
  </si>
  <si>
    <t xml:space="preserve">EPIC100941</t>
  </si>
  <si>
    <t xml:space="preserve">Becki Lumley</t>
  </si>
  <si>
    <t xml:space="preserve">Talbot Sedgebeer</t>
  </si>
  <si>
    <t xml:space="preserve">EPIC100942</t>
  </si>
  <si>
    <t xml:space="preserve">Selinda Theis</t>
  </si>
  <si>
    <t xml:space="preserve">Lydie McNeill</t>
  </si>
  <si>
    <t xml:space="preserve">EPIC100943</t>
  </si>
  <si>
    <t xml:space="preserve">Kaspar Dilgarno</t>
  </si>
  <si>
    <t xml:space="preserve">Maris Bonhomme</t>
  </si>
  <si>
    <t xml:space="preserve">EPIC100944</t>
  </si>
  <si>
    <t xml:space="preserve">See Berzins</t>
  </si>
  <si>
    <t xml:space="preserve">Dorolisa Stedall</t>
  </si>
  <si>
    <t xml:space="preserve">EPIC100945</t>
  </si>
  <si>
    <t xml:space="preserve">Mayer Scotchmer</t>
  </si>
  <si>
    <t xml:space="preserve">Harold Sugge</t>
  </si>
  <si>
    <t xml:space="preserve">EPIC100946</t>
  </si>
  <si>
    <t xml:space="preserve">Agosto Revel</t>
  </si>
  <si>
    <t xml:space="preserve">Muire Cass</t>
  </si>
  <si>
    <t xml:space="preserve">EPIC100947</t>
  </si>
  <si>
    <t xml:space="preserve">Marget Gilby</t>
  </si>
  <si>
    <t xml:space="preserve">Edie Dyett</t>
  </si>
  <si>
    <t xml:space="preserve">EPIC100948</t>
  </si>
  <si>
    <t xml:space="preserve">Andreas Frearson</t>
  </si>
  <si>
    <t xml:space="preserve">Fredelia Leap</t>
  </si>
  <si>
    <t xml:space="preserve">EPIC100949</t>
  </si>
  <si>
    <t xml:space="preserve">Jaclyn Boulder</t>
  </si>
  <si>
    <t xml:space="preserve">Thaddus Zealander</t>
  </si>
  <si>
    <t xml:space="preserve">EPIC100950</t>
  </si>
  <si>
    <t xml:space="preserve">Augustine Rozzier</t>
  </si>
  <si>
    <t xml:space="preserve">Blair Elijahu</t>
  </si>
  <si>
    <t xml:space="preserve">EPIC100951</t>
  </si>
  <si>
    <t xml:space="preserve">Cecil Vanlint</t>
  </si>
  <si>
    <t xml:space="preserve">Florina Lakeman</t>
  </si>
  <si>
    <t xml:space="preserve">EPIC100952</t>
  </si>
  <si>
    <t xml:space="preserve">Madeline McTerrelly</t>
  </si>
  <si>
    <t xml:space="preserve">Fayth Buff</t>
  </si>
  <si>
    <t xml:space="preserve">EPIC100953</t>
  </si>
  <si>
    <t xml:space="preserve">Bond Northbridge</t>
  </si>
  <si>
    <t xml:space="preserve">Ossie Bromwich</t>
  </si>
  <si>
    <t xml:space="preserve">EPIC100954</t>
  </si>
  <si>
    <t xml:space="preserve">Fianna Todaro</t>
  </si>
  <si>
    <t xml:space="preserve">Osborn Loseke</t>
  </si>
  <si>
    <t xml:space="preserve">EPIC100955</t>
  </si>
  <si>
    <t xml:space="preserve">Eba Shyre</t>
  </si>
  <si>
    <t xml:space="preserve">Goraud Sindle</t>
  </si>
  <si>
    <t xml:space="preserve">EPIC100956</t>
  </si>
  <si>
    <t xml:space="preserve">Abbey Vasyukov</t>
  </si>
  <si>
    <t xml:space="preserve">Anna-diana Glasspoole</t>
  </si>
  <si>
    <t xml:space="preserve">EPIC100957</t>
  </si>
  <si>
    <t xml:space="preserve">Yard Murr</t>
  </si>
  <si>
    <t xml:space="preserve">Edgar Stachini</t>
  </si>
  <si>
    <t xml:space="preserve">EPIC100958</t>
  </si>
  <si>
    <t xml:space="preserve">Elisha Dransfield</t>
  </si>
  <si>
    <t xml:space="preserve">Rouvin Pannett</t>
  </si>
  <si>
    <t xml:space="preserve">EPIC100959</t>
  </si>
  <si>
    <t xml:space="preserve">Casey Nolder</t>
  </si>
  <si>
    <t xml:space="preserve">Aleece Philpots</t>
  </si>
  <si>
    <t xml:space="preserve">EPIC100960</t>
  </si>
  <si>
    <t xml:space="preserve">Philip Yegorkov</t>
  </si>
  <si>
    <t xml:space="preserve">Daryn Adlem</t>
  </si>
  <si>
    <t xml:space="preserve">EPIC100961</t>
  </si>
  <si>
    <t xml:space="preserve">Vinson Lochrie</t>
  </si>
  <si>
    <t xml:space="preserve">Katinka Pedri</t>
  </si>
  <si>
    <t xml:space="preserve">EPIC100962</t>
  </si>
  <si>
    <t xml:space="preserve">Alecia Van Halle</t>
  </si>
  <si>
    <t xml:space="preserve">Baxie Lovell</t>
  </si>
  <si>
    <t xml:space="preserve">EPIC100963</t>
  </si>
  <si>
    <t xml:space="preserve">Nikolia McGaffey</t>
  </si>
  <si>
    <t xml:space="preserve">Jobyna Henriquet</t>
  </si>
  <si>
    <t xml:space="preserve">EPIC100964</t>
  </si>
  <si>
    <t xml:space="preserve">Constantine Santen</t>
  </si>
  <si>
    <t xml:space="preserve">Eunice Markovich</t>
  </si>
  <si>
    <t xml:space="preserve">EPIC100965</t>
  </si>
  <si>
    <t xml:space="preserve">Etheline Taffee</t>
  </si>
  <si>
    <t xml:space="preserve">Jany Bolesma</t>
  </si>
  <si>
    <t xml:space="preserve">EPIC100966</t>
  </si>
  <si>
    <t xml:space="preserve">Angelica Bane</t>
  </si>
  <si>
    <t xml:space="preserve">Wally Krier</t>
  </si>
  <si>
    <t xml:space="preserve">EPIC100967</t>
  </si>
  <si>
    <t xml:space="preserve">Sullivan Schmuhl</t>
  </si>
  <si>
    <t xml:space="preserve">Ninetta Steels</t>
  </si>
  <si>
    <t xml:space="preserve">EPIC100968</t>
  </si>
  <si>
    <t xml:space="preserve">Kassia Aumerle</t>
  </si>
  <si>
    <t xml:space="preserve">Heriberto Friedank</t>
  </si>
  <si>
    <t xml:space="preserve">EPIC100969</t>
  </si>
  <si>
    <t xml:space="preserve">Shane Goligly</t>
  </si>
  <si>
    <t xml:space="preserve">Wanids Ormerod</t>
  </si>
  <si>
    <t xml:space="preserve">EPIC100970</t>
  </si>
  <si>
    <t xml:space="preserve">Aubry Philipson</t>
  </si>
  <si>
    <t xml:space="preserve">Jeanine Batstone</t>
  </si>
  <si>
    <t xml:space="preserve">EPIC100971</t>
  </si>
  <si>
    <t xml:space="preserve">Andrea Worsnap</t>
  </si>
  <si>
    <t xml:space="preserve">Concettina Brimblecomb</t>
  </si>
  <si>
    <t xml:space="preserve">EPIC100972</t>
  </si>
  <si>
    <t xml:space="preserve">Therese Worvill</t>
  </si>
  <si>
    <t xml:space="preserve">Sully Siggs</t>
  </si>
  <si>
    <t xml:space="preserve">EPIC100973</t>
  </si>
  <si>
    <t xml:space="preserve">Brigitta Dewar</t>
  </si>
  <si>
    <t xml:space="preserve">Herb Gillinghams</t>
  </si>
  <si>
    <t xml:space="preserve">EPIC100974</t>
  </si>
  <si>
    <t xml:space="preserve">Jade Gillies</t>
  </si>
  <si>
    <t xml:space="preserve">Verna Piper</t>
  </si>
  <si>
    <t xml:space="preserve">EPIC100975</t>
  </si>
  <si>
    <t xml:space="preserve">Chick Mityushkin</t>
  </si>
  <si>
    <t xml:space="preserve">Giffard Searjeant</t>
  </si>
  <si>
    <t xml:space="preserve">EPIC100976</t>
  </si>
  <si>
    <t xml:space="preserve">Carleton Heinschke</t>
  </si>
  <si>
    <t xml:space="preserve">Christie Hateley</t>
  </si>
  <si>
    <t xml:space="preserve">EPIC100977</t>
  </si>
  <si>
    <t xml:space="preserve">Orelie Ottey</t>
  </si>
  <si>
    <t xml:space="preserve">Rawley Braganca</t>
  </si>
  <si>
    <t xml:space="preserve">EPIC100978</t>
  </si>
  <si>
    <t xml:space="preserve">Lilith Inkles</t>
  </si>
  <si>
    <t xml:space="preserve">Trstram O' Finan</t>
  </si>
  <si>
    <t xml:space="preserve">EPIC100979</t>
  </si>
  <si>
    <t xml:space="preserve">Edward Clifft</t>
  </si>
  <si>
    <t xml:space="preserve">Rica Gorst</t>
  </si>
  <si>
    <t xml:space="preserve">EPIC100980</t>
  </si>
  <si>
    <t xml:space="preserve">Alayne Phethean</t>
  </si>
  <si>
    <t xml:space="preserve">Yovonnda Ilyinski</t>
  </si>
  <si>
    <t xml:space="preserve">EPIC100981</t>
  </si>
  <si>
    <t xml:space="preserve">Udall Collinson</t>
  </si>
  <si>
    <t xml:space="preserve">Meagan Hovenden</t>
  </si>
  <si>
    <t xml:space="preserve">EPIC100982</t>
  </si>
  <si>
    <t xml:space="preserve">Donal Stapford</t>
  </si>
  <si>
    <t xml:space="preserve">Nettie Bassingden</t>
  </si>
  <si>
    <t xml:space="preserve">EPIC100983</t>
  </si>
  <si>
    <t xml:space="preserve">Zorina Pinnigar</t>
  </si>
  <si>
    <t xml:space="preserve">Gery Renforth</t>
  </si>
  <si>
    <t xml:space="preserve">EPIC100984</t>
  </si>
  <si>
    <t xml:space="preserve">Estele Speake</t>
  </si>
  <si>
    <t xml:space="preserve">Jilli Readman</t>
  </si>
  <si>
    <t xml:space="preserve">EPIC100985</t>
  </si>
  <si>
    <t xml:space="preserve">Del Rosina</t>
  </si>
  <si>
    <t xml:space="preserve">Felisha Bienvenu</t>
  </si>
  <si>
    <t xml:space="preserve">EPIC100986</t>
  </si>
  <si>
    <t xml:space="preserve">Trudey Hedworth</t>
  </si>
  <si>
    <t xml:space="preserve">Gabe Papps</t>
  </si>
  <si>
    <t xml:space="preserve">EPIC100987</t>
  </si>
  <si>
    <t xml:space="preserve">Dorine Casaccio</t>
  </si>
  <si>
    <t xml:space="preserve">Gawen Romeuf</t>
  </si>
  <si>
    <t xml:space="preserve">EPIC100988</t>
  </si>
  <si>
    <t xml:space="preserve">Kathlin Lilleycrop</t>
  </si>
  <si>
    <t xml:space="preserve">Helen-elizabeth Antonsson</t>
  </si>
  <si>
    <t xml:space="preserve">EPIC100989</t>
  </si>
  <si>
    <t xml:space="preserve">Lorilee Baison</t>
  </si>
  <si>
    <t xml:space="preserve">Adrianna McGannon</t>
  </si>
  <si>
    <t xml:space="preserve">EPIC100990</t>
  </si>
  <si>
    <t xml:space="preserve">Benedict Blythin</t>
  </si>
  <si>
    <t xml:space="preserve">Barnabe Losselyong</t>
  </si>
  <si>
    <t xml:space="preserve">EPIC100991</t>
  </si>
  <si>
    <t xml:space="preserve">Sloan Stive</t>
  </si>
  <si>
    <t xml:space="preserve">Elle Maingot</t>
  </si>
  <si>
    <t xml:space="preserve">EPIC100992</t>
  </si>
  <si>
    <t xml:space="preserve">Alwyn Castelluzzi</t>
  </si>
  <si>
    <t xml:space="preserve">Zorah Waryk</t>
  </si>
  <si>
    <t xml:space="preserve">EPIC100993</t>
  </si>
  <si>
    <t xml:space="preserve">Christan Hellyar</t>
  </si>
  <si>
    <t xml:space="preserve">Aland Hollingdale</t>
  </si>
  <si>
    <t xml:space="preserve">EPIC100994</t>
  </si>
  <si>
    <t xml:space="preserve">Marleen Pilkinton</t>
  </si>
  <si>
    <t xml:space="preserve">Samson Madgin</t>
  </si>
  <si>
    <t xml:space="preserve">EPIC100995</t>
  </si>
  <si>
    <t xml:space="preserve">Lucille Clampett</t>
  </si>
  <si>
    <t xml:space="preserve">Doris Bainton</t>
  </si>
  <si>
    <t xml:space="preserve">EPIC100996</t>
  </si>
  <si>
    <t xml:space="preserve">Rosalinde Carcass</t>
  </si>
  <si>
    <t xml:space="preserve">Andra Pask</t>
  </si>
  <si>
    <t xml:space="preserve">EPIC100997</t>
  </si>
  <si>
    <t xml:space="preserve">Haskel Ensten</t>
  </si>
  <si>
    <t xml:space="preserve">Domini Reddlesden</t>
  </si>
  <si>
    <t xml:space="preserve">EPIC100998</t>
  </si>
  <si>
    <t xml:space="preserve">Parke Torbet</t>
  </si>
  <si>
    <t xml:space="preserve">Cassy Santen</t>
  </si>
  <si>
    <t xml:space="preserve">EPIC100999</t>
  </si>
  <si>
    <t xml:space="preserve">Mead Grishankov</t>
  </si>
  <si>
    <t xml:space="preserve">Stevy Blakden</t>
  </si>
  <si>
    <t xml:space="preserve">EPIC101000</t>
  </si>
  <si>
    <t xml:space="preserve">Isadora Crammy</t>
  </si>
  <si>
    <t xml:space="preserve">Burl Racher</t>
  </si>
  <si>
    <t xml:space="preserve">CONSTITUENCY SUMMARY</t>
  </si>
  <si>
    <t xml:space="preserve">PARTY VOTE SHARE</t>
  </si>
  <si>
    <t xml:space="preserve">Registered Voters</t>
  </si>
  <si>
    <t xml:space="preserve">Party</t>
  </si>
  <si>
    <t xml:space="preserve">Total Votes</t>
  </si>
  <si>
    <t xml:space="preserve">Vote Share %</t>
  </si>
  <si>
    <t xml:space="preserve">HOURLY CUMULATIVE TURNOUT</t>
  </si>
  <si>
    <t xml:space="preserve">Hour</t>
  </si>
  <si>
    <t xml:space="preserve">Votes This Hour</t>
  </si>
  <si>
    <t xml:space="preserve">Cumulative Votes</t>
  </si>
  <si>
    <t xml:space="preserve">7:00</t>
  </si>
  <si>
    <t xml:space="preserve">8:00</t>
  </si>
  <si>
    <t xml:space="preserve">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</si>
  <si>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</si>
  <si>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</si>
  <si>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</si>
  <si>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</si>
  <si>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</si>
  <si>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</si>
  <si>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</si>
  <si>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</si>
  <si>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</si>
  <si>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VOTER STATUS SUMMARY</t>
  </si>
  <si>
    <t xml:space="preserve">Percentage</t>
  </si>
  <si>
    <t xml:space="preserve">Approved</t>
  </si>
  <si>
    <t xml:space="preserve">Pending</t>
  </si>
  <si>
    <t xml:space="preserve">Rejected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</si>
</sst>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%"/>
    <numFmt numFmtId="168" formatCode="General"/>
    <numFmt numFmtId="169" formatCode="0"/>
    <numFmt numFmtId="170" formatCode="yyyy\-mm\-dd\ hh:mm:ss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9933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26"/>
      <color rgb="FF1B2A4A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B2A4A"/>
      <name val="Calibri"/>
      <family val="0"/>
      <charset val="1"/>
    </font>
    <font>
      <i val="true"/>
      <sz val="9"/>
      <color rgb="FFFF9933"/>
      <name val="Calibri"/>
      <family val="0"/>
      <charset val="1"/>
    </font>
    <font>
      <sz val="10.5"/>
      <color rgb="FF1B2A4A"/>
      <name val="Calibri"/>
      <family val="0"/>
      <charset val="1"/>
    </font>
    <font>
      <i val="true"/>
      <sz val="9"/>
      <color rgb="FF1B2A4A"/>
      <name val="Calibri"/>
      <family val="0"/>
      <charset val="1"/>
    </font>
    <font>
      <sz val="9"/>
      <color rgb="FFFF993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3"/>
      <color rgb="FF1B2A4A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1B2A4A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138808"/>
        <bgColor rgb="FF008080"/>
      </patternFill>
    </fill>
    <fill>
      <patternFill patternType="solid">
        <fgColor rgb="FFEAF0F7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AF0F7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B0C4DE"/>
      </left>
      <right style="medium">
        <color rgb="FFB0C4DE"/>
      </right>
      <top style="thick">
        <color rgb="FFFF9933"/>
      </top>
      <bottom/>
      <diagonal/>
    </border>
    <border diagonalUp="false" diagonalDown="false">
      <left style="medium">
        <color rgb="FFB0C4DE"/>
      </left>
      <right style="medium">
        <color rgb="FFB0C4DE"/>
      </right>
      <top/>
      <bottom/>
      <diagonal/>
    </border>
    <border diagonalUp="false" diagonalDown="false">
      <left style="medium">
        <color rgb="FFB0C4DE"/>
      </left>
      <right/>
      <top/>
      <bottom style="medium">
        <color rgb="FFB0C4DE"/>
      </bottom>
      <diagonal/>
    </border>
    <border diagonalUp="false" diagonalDown="false">
      <left/>
      <right/>
      <top/>
      <bottom style="medium">
        <color rgb="FFB0C4DE"/>
      </bottom>
      <diagonal/>
    </border>
    <border diagonalUp="false" diagonalDown="false">
      <left/>
      <right style="medium">
        <color rgb="FFB0C4DE"/>
      </right>
      <top/>
      <bottom style="medium">
        <color rgb="FFB0C4DE"/>
      </bottom>
      <diagonal/>
    </border>
    <border diagonalUp="false" diagonalDown="false">
      <left/>
      <right/>
      <top style="medium">
        <color rgb="FF138808"/>
      </top>
      <bottom/>
      <diagonal/>
    </border>
    <border diagonalUp="false" diagonalDown="false">
      <left style="medium">
        <color rgb="FF1B2A4A"/>
      </left>
      <right/>
      <top style="medium">
        <color rgb="FF1B2A4A"/>
      </top>
      <bottom/>
      <diagonal/>
    </border>
    <border diagonalUp="false" diagonalDown="false">
      <left/>
      <right/>
      <top style="medium">
        <color rgb="FF1B2A4A"/>
      </top>
      <bottom/>
      <diagonal/>
    </border>
    <border diagonalUp="false" diagonalDown="false">
      <left/>
      <right style="medium">
        <color rgb="FF1B2A4A"/>
      </right>
      <top style="medium">
        <color rgb="FF1B2A4A"/>
      </top>
      <bottom/>
      <diagonal/>
    </border>
    <border diagonalUp="false" diagonalDown="false">
      <left style="medium">
        <color rgb="FF1B2A4A"/>
      </left>
      <right/>
      <top/>
      <bottom/>
      <diagonal/>
    </border>
    <border diagonalUp="false" diagonalDown="false">
      <left/>
      <right style="medium">
        <color rgb="FF1B2A4A"/>
      </right>
      <top/>
      <bottom/>
      <diagonal/>
    </border>
    <border diagonalUp="false" diagonalDown="false">
      <left style="medium">
        <color rgb="FF1B2A4A"/>
      </left>
      <right/>
      <top/>
      <bottom style="medium">
        <color rgb="FF1B2A4A"/>
      </bottom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/>
      <right style="medium">
        <color rgb="FF1B2A4A"/>
      </right>
      <top/>
      <bottom style="medium">
        <color rgb="FF1B2A4A"/>
      </bottom>
      <diagonal/>
    </border>
    <border diagonalUp="false" diagonalDown="false">
      <left/>
      <right/>
      <top/>
      <bottom style="medium">
        <color rgb="FF138808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6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9" fillId="6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9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38808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AF0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0C4DE"/>
      <rgbColor rgb="FFFF99CC"/>
      <rgbColor rgb="FFCC99FF"/>
      <rgbColor rgb="FFFFCC99"/>
      <rgbColor rgb="FF3366FF"/>
      <rgbColor rgb="FF33CCCC"/>
      <rgbColor rgb="FF99CC00"/>
      <rgbColor rgb="FFFFCC00"/>
      <rgbColor rgb="FFFF9933"/>
      <rgbColor rgb="FFFF6600"/>
      <rgbColor rgb="FF4F81BD"/>
      <rgbColor rgb="FFB3B3B3"/>
      <rgbColor rgb="FF003366"/>
      <rgbColor rgb="FF2E86AB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Voter Turnout % by Constituency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Helper!D2</c:f>
              <c:strCache>
                <c:ptCount val="1"/>
                <c:pt idx="0">
                  <c:v>Turnout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b2a4a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9933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38808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Helper!$A$3:$A$5</c:f>
              <c:strCache>
                <c:ptCount val="3"/>
                <c:pt idx="0">
                  <c:v>New Delhi</c:v>
                </c:pt>
                <c:pt idx="1">
                  <c:v>Mumbai South</c:v>
                </c:pt>
                <c:pt idx="2">
                  <c:v>Bangalore Central</c:v>
                </c:pt>
              </c:strCache>
            </c:strRef>
          </c:cat>
          <c:val>
            <c:numRef>
              <c:f>Helper!$D$3:$D$5</c:f>
              <c:numCache>
                <c:formatCode>0.0%</c:formatCode>
                <c:ptCount val="3"/>
                <c:pt idx="0">
                  <c:v>0.510903426791277</c:v>
                </c:pt>
                <c:pt idx="1">
                  <c:v>0.46865671641791</c:v>
                </c:pt>
                <c:pt idx="2">
                  <c:v>0.494186046511628</c:v>
                </c:pt>
              </c:numCache>
            </c:numRef>
          </c:val>
        </c:ser>
        <c:gapWidth val="150"/>
        <c:overlap val="0"/>
        <c:axId val="97845000"/>
        <c:axId val="2853636"/>
      </c:barChart>
      <c:catAx>
        <c:axId val="978450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Constituency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3636"/>
        <c:crosses val="autoZero"/>
        <c:auto val="1"/>
        <c:lblAlgn val="ctr"/>
        <c:lblOffset val="100"/>
        <c:noMultiLvlLbl val="0"/>
      </c:catAx>
      <c:valAx>
        <c:axId val="2853636"/>
        <c:scaling>
          <c:orientation val="minMax"/>
        </c:scaling>
        <c:delete val="0"/>
        <c:axPos val="l"/>
        <c:majorGridlines>
          <c:spPr>
            <a:ln w="6480">
              <a:solidFill>
                <a:srgbClr val="bfbfbf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Turnout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450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Vote Share by Party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Helper!G2</c:f>
              <c:strCache>
                <c:ptCount val="1"/>
                <c:pt idx="0">
                  <c:v>Total Votes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b2a4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9933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38808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Helper!$F$3:$F$5</c:f>
              <c:strCache>
                <c:ptCount val="3"/>
                <c:pt idx="0">
                  <c:v>Progressive Party</c:v>
                </c:pt>
                <c:pt idx="1">
                  <c:v>Unity Alliance</c:v>
                </c:pt>
                <c:pt idx="2">
                  <c:v>People's Front</c:v>
                </c:pt>
              </c:strCache>
            </c:strRef>
          </c:cat>
          <c:val>
            <c:numRef>
              <c:f>Helper!$G$3:$G$5</c:f>
              <c:numCache>
                <c:formatCode>#,##0</c:formatCode>
                <c:ptCount val="3"/>
                <c:pt idx="0">
                  <c:v>161</c:v>
                </c:pt>
                <c:pt idx="1">
                  <c:v>165</c:v>
                </c:pt>
                <c:pt idx="2">
                  <c:v>165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Voter Turnout Over Time (Election 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Helper!C9</c:f>
              <c:strCache>
                <c:ptCount val="1"/>
                <c:pt idx="0">
                  <c:v>Cumulative Votes</c:v>
                </c:pt>
              </c:strCache>
            </c:strRef>
          </c:tx>
          <c:spPr>
            <a:solidFill>
              <a:srgbClr val="2e86ab"/>
            </a:solidFill>
            <a:ln w="21960">
              <a:solidFill>
                <a:srgbClr val="2e86ab"/>
              </a:solidFill>
              <a:round/>
            </a:ln>
          </c:spPr>
          <c:marker>
            <c:symbol val="circle"/>
            <c:size val="6"/>
            <c:spPr>
              <a:solidFill>
                <a:srgbClr val="2e86a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Helper!$A$10:$A$21</c:f>
              <c:strCache>
                <c:ptCount val="12"/>
                <c:pt idx="0">
                  <c:v>7:00</c:v>
                </c:pt>
                <c:pt idx="1">
                  <c:v>8:00</c:v>
                </c:pt>
                <c:pt idx="2">
                  <c:v>9:00</c:v>
                </c:pt>
                <c:pt idx="3">
                  <c:v>10:00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14:00</c:v>
                </c:pt>
                <c:pt idx="8">
                  <c:v>15:00</c:v>
                </c:pt>
                <c:pt idx="9">
                  <c:v>16:00</c:v>
                </c:pt>
                <c:pt idx="10">
                  <c:v>17:00</c:v>
                </c:pt>
                <c:pt idx="11">
                  <c:v>18:00</c:v>
                </c:pt>
              </c:strCache>
            </c:strRef>
          </c:cat>
          <c:val>
            <c:numRef>
              <c:f>Helper!$C$10:$C$21</c:f>
              <c:numCache>
                <c:formatCode>#,##0</c:formatCode>
                <c:ptCount val="12"/>
                <c:pt idx="0">
                  <c:v>39</c:v>
                </c:pt>
                <c:pt idx="1">
                  <c:v>96</c:v>
                </c:pt>
                <c:pt idx="2">
                  <c:v>142</c:v>
                </c:pt>
                <c:pt idx="3">
                  <c:v>184</c:v>
                </c:pt>
                <c:pt idx="4">
                  <c:v>238</c:v>
                </c:pt>
                <c:pt idx="5">
                  <c:v>282</c:v>
                </c:pt>
                <c:pt idx="6">
                  <c:v>322</c:v>
                </c:pt>
                <c:pt idx="7">
                  <c:v>367</c:v>
                </c:pt>
                <c:pt idx="8">
                  <c:v>401</c:v>
                </c:pt>
                <c:pt idx="9">
                  <c:v>444</c:v>
                </c:pt>
                <c:pt idx="10">
                  <c:v>491</c:v>
                </c:pt>
                <c:pt idx="11">
                  <c:v>491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587560"/>
        <c:axId val="87671891"/>
      </c:lineChart>
      <c:catAx>
        <c:axId val="255875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71891"/>
        <c:crosses val="autoZero"/>
        <c:auto val="1"/>
        <c:lblAlgn val="ctr"/>
        <c:lblOffset val="100"/>
        <c:noMultiLvlLbl val="0"/>
      </c:catAx>
      <c:valAx>
        <c:axId val="87671891"/>
        <c:scaling>
          <c:orientation val="minMax"/>
        </c:scaling>
        <c:delete val="0"/>
        <c:axPos val="l"/>
        <c:majorGridlines>
          <c:spPr>
            <a:ln w="6480">
              <a:solidFill>
                <a:srgbClr val="bfbfbf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Votes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875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0</xdr:rowOff>
    </xdr:from>
    <xdr:to>
      <xdr:col>14</xdr:col>
      <xdr:colOff>315000</xdr:colOff>
      <xdr:row>26</xdr:row>
      <xdr:rowOff>141480</xdr:rowOff>
    </xdr:to>
    <xdr:graphicFrame>
      <xdr:nvGraphicFramePr>
        <xdr:cNvPr id="0" name="Chart 1"/>
        <xdr:cNvGraphicFramePr/>
      </xdr:nvGraphicFramePr>
      <xdr:xfrm>
        <a:off x="5427360" y="2733840"/>
        <a:ext cx="5578560" cy="305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130680</xdr:rowOff>
    </xdr:from>
    <xdr:to>
      <xdr:col>7</xdr:col>
      <xdr:colOff>151200</xdr:colOff>
      <xdr:row>41</xdr:row>
      <xdr:rowOff>141480</xdr:rowOff>
    </xdr:to>
    <xdr:graphicFrame>
      <xdr:nvGraphicFramePr>
        <xdr:cNvPr id="1" name="Chart 2"/>
        <xdr:cNvGraphicFramePr/>
      </xdr:nvGraphicFramePr>
      <xdr:xfrm>
        <a:off x="0" y="5588640"/>
        <a:ext cx="557856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25</xdr:row>
      <xdr:rowOff>130680</xdr:rowOff>
    </xdr:from>
    <xdr:to>
      <xdr:col>13</xdr:col>
      <xdr:colOff>151200</xdr:colOff>
      <xdr:row>41</xdr:row>
      <xdr:rowOff>141480</xdr:rowOff>
    </xdr:to>
    <xdr:graphicFrame>
      <xdr:nvGraphicFramePr>
        <xdr:cNvPr id="2" name="Chart 3"/>
        <xdr:cNvGraphicFramePr/>
      </xdr:nvGraphicFramePr>
      <xdr:xfrm>
        <a:off x="4651920" y="5588640"/>
        <a:ext cx="557856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1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2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24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4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2" hidden="false" customHeight="true" outlineLevel="0" collapsed="false"/>
    <row r="6" customFormat="false" ht="19.5" hidden="false" customHeight="true" outlineLevel="0" collapsed="false">
      <c r="A6" s="6" t="s">
        <v>2</v>
      </c>
      <c r="B6" s="6"/>
      <c r="C6" s="6"/>
      <c r="D6" s="6" t="s">
        <v>3</v>
      </c>
      <c r="E6" s="6"/>
      <c r="F6" s="6"/>
      <c r="G6" s="6" t="s">
        <v>4</v>
      </c>
      <c r="H6" s="6"/>
      <c r="I6" s="6"/>
      <c r="J6" s="6" t="s">
        <v>5</v>
      </c>
      <c r="K6" s="6"/>
      <c r="L6" s="6"/>
    </row>
    <row r="7" customFormat="false" ht="30" hidden="false" customHeight="true" outlineLevel="0" collapsed="false">
      <c r="A7" s="7" t="n">
        <f aca="false">COUNTA('Raw Data'!B2:B1001)</f>
        <v>1000</v>
      </c>
      <c r="B7" s="7"/>
      <c r="C7" s="7"/>
      <c r="D7" s="7" t="n">
        <f aca="false">COUNTIF('Raw Data'!E2:E1001,TRUE())</f>
        <v>491</v>
      </c>
      <c r="E7" s="7"/>
      <c r="F7" s="7"/>
      <c r="G7" s="8" t="n">
        <f aca="false">COUNTIF('Raw Data'!E2:E1001,TRUE())/COUNTA('Raw Data'!B2:B1001)</f>
        <v>0.491</v>
      </c>
      <c r="H7" s="8"/>
      <c r="I7" s="8"/>
      <c r="J7" s="9" t="str">
        <f aca="false">INDEX(Helper!F3:F5,MATCH(MAX(Helper!G3:G5),Helper!G3:G5,0))</f>
        <v>Unity Alliance</v>
      </c>
      <c r="K7" s="9"/>
      <c r="L7" s="9"/>
    </row>
    <row r="8" customFormat="false" ht="37.5" hidden="false" customHeight="true" outlineLevel="0" collapsed="false">
      <c r="A8" s="7"/>
      <c r="B8" s="7"/>
      <c r="C8" s="7"/>
      <c r="D8" s="7"/>
      <c r="E8" s="7"/>
      <c r="F8" s="7"/>
      <c r="G8" s="8"/>
      <c r="H8" s="8"/>
      <c r="I8" s="8"/>
      <c r="J8" s="9"/>
      <c r="K8" s="9"/>
      <c r="L8" s="9"/>
    </row>
    <row r="9" customFormat="false" ht="6" hidden="false" customHeight="true" outlineLevel="0" collapsed="false">
      <c r="A9" s="10"/>
      <c r="B9" s="11"/>
      <c r="C9" s="12"/>
      <c r="D9" s="10"/>
      <c r="E9" s="11"/>
      <c r="F9" s="12"/>
      <c r="G9" s="10"/>
      <c r="H9" s="11"/>
      <c r="I9" s="12"/>
      <c r="J9" s="10"/>
      <c r="K9" s="11"/>
      <c r="L9" s="12"/>
    </row>
    <row r="10" customFormat="false" ht="18" hidden="false" customHeight="true" outlineLevel="0" collapsed="false">
      <c r="A10" s="13" t="s">
        <v>6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customFormat="false" ht="3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17.25" hidden="false" customHeight="true" outlineLevel="0" collapsed="false">
      <c r="A12" s="15" t="s">
        <v>7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16" t="s">
        <v>8</v>
      </c>
      <c r="B13" s="16"/>
      <c r="C13" s="17" t="s">
        <v>9</v>
      </c>
      <c r="D13" s="17"/>
      <c r="E13" s="17" t="s">
        <v>10</v>
      </c>
      <c r="F13" s="18" t="s">
        <v>11</v>
      </c>
    </row>
    <row r="14" customFormat="false" ht="15" hidden="false" customHeight="true" outlineLevel="0" collapsed="false">
      <c r="A14" s="19" t="str">
        <f aca="false">Helper!A3</f>
        <v>New Delhi</v>
      </c>
      <c r="B14" s="19"/>
      <c r="C14" s="20" t="n">
        <f aca="false">Helper!B3</f>
        <v>321</v>
      </c>
      <c r="D14" s="20"/>
      <c r="E14" s="21" t="n">
        <f aca="false">Helper!C3</f>
        <v>164</v>
      </c>
      <c r="F14" s="22" t="n">
        <f aca="false">Helper!D3</f>
        <v>0.510903426791277</v>
      </c>
    </row>
    <row r="15" customFormat="false" ht="15" hidden="false" customHeight="true" outlineLevel="0" collapsed="false">
      <c r="A15" s="23" t="str">
        <f aca="false">Helper!A4</f>
        <v>Mumbai South</v>
      </c>
      <c r="B15" s="23"/>
      <c r="C15" s="24" t="n">
        <f aca="false">Helper!B4</f>
        <v>335</v>
      </c>
      <c r="D15" s="24"/>
      <c r="E15" s="25" t="n">
        <f aca="false">Helper!C4</f>
        <v>157</v>
      </c>
      <c r="F15" s="26" t="n">
        <f aca="false">Helper!D4</f>
        <v>0.46865671641791</v>
      </c>
    </row>
    <row r="16" customFormat="false" ht="15" hidden="false" customHeight="true" outlineLevel="0" collapsed="false">
      <c r="A16" s="19" t="str">
        <f aca="false">Helper!A5</f>
        <v>Bangalore Central</v>
      </c>
      <c r="B16" s="19"/>
      <c r="C16" s="20" t="n">
        <f aca="false">Helper!B5</f>
        <v>344</v>
      </c>
      <c r="D16" s="20"/>
      <c r="E16" s="21" t="n">
        <f aca="false">Helper!C5</f>
        <v>170</v>
      </c>
      <c r="F16" s="22" t="n">
        <f aca="false">Helper!D5</f>
        <v>0.494186046511628</v>
      </c>
    </row>
    <row r="17" customFormat="false" ht="15" hidden="false" customHeight="true" outlineLevel="0" collapsed="false">
      <c r="A17" s="27"/>
      <c r="B17" s="28"/>
      <c r="C17" s="28"/>
      <c r="D17" s="28"/>
      <c r="E17" s="28"/>
      <c r="F17" s="29"/>
    </row>
    <row r="19" customFormat="false" ht="17.25" hidden="false" customHeight="true" outlineLevel="0" collapsed="false">
      <c r="A19" s="15" t="s">
        <v>12</v>
      </c>
      <c r="B19" s="15"/>
      <c r="C19" s="15"/>
      <c r="D19" s="15"/>
      <c r="E19" s="15"/>
      <c r="F19" s="15"/>
    </row>
    <row r="20" customFormat="false" ht="15" hidden="false" customHeight="true" outlineLevel="0" collapsed="false">
      <c r="A20" s="16" t="s">
        <v>13</v>
      </c>
      <c r="B20" s="16"/>
      <c r="C20" s="17" t="s">
        <v>14</v>
      </c>
      <c r="D20" s="17"/>
      <c r="E20" s="18" t="s">
        <v>15</v>
      </c>
      <c r="F20" s="18"/>
    </row>
    <row r="21" customFormat="false" ht="15" hidden="false" customHeight="true" outlineLevel="0" collapsed="false">
      <c r="A21" s="19" t="str">
        <f aca="false">Helper!A25</f>
        <v>Approved</v>
      </c>
      <c r="B21" s="19"/>
      <c r="C21" s="20" t="n">
        <f aca="false">Helper!B25</f>
        <v>303</v>
      </c>
      <c r="D21" s="20"/>
      <c r="E21" s="22" t="n">
        <f aca="false">Helper!C25</f>
        <v>0.303</v>
      </c>
      <c r="F21" s="22"/>
    </row>
    <row r="22" customFormat="false" ht="15" hidden="false" customHeight="true" outlineLevel="0" collapsed="false">
      <c r="A22" s="23" t="str">
        <f aca="false">Helper!A26</f>
        <v>Pending</v>
      </c>
      <c r="B22" s="23"/>
      <c r="C22" s="24" t="n">
        <f aca="false">Helper!B26</f>
        <v>369</v>
      </c>
      <c r="D22" s="24"/>
      <c r="E22" s="26" t="n">
        <f aca="false">Helper!C26</f>
        <v>0.369</v>
      </c>
      <c r="F22" s="26"/>
    </row>
    <row r="23" customFormat="false" ht="15" hidden="false" customHeight="true" outlineLevel="0" collapsed="false">
      <c r="A23" s="19" t="str">
        <f aca="false">Helper!A27</f>
        <v>Rejected</v>
      </c>
      <c r="B23" s="19"/>
      <c r="C23" s="20" t="n">
        <f aca="false">Helper!B27</f>
        <v>328</v>
      </c>
      <c r="D23" s="20"/>
      <c r="E23" s="22" t="n">
        <f aca="false">Helper!C27</f>
        <v>0.328</v>
      </c>
      <c r="F23" s="22"/>
    </row>
    <row r="24" customFormat="false" ht="15" hidden="false" customHeight="true" outlineLevel="0" collapsed="false">
      <c r="A24" s="27"/>
      <c r="B24" s="28"/>
      <c r="C24" s="28"/>
      <c r="D24" s="28"/>
      <c r="E24" s="28"/>
      <c r="F24" s="29"/>
    </row>
    <row r="43" customFormat="false" ht="15" hidden="false" customHeight="true" outlineLevel="0" collapsed="false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customFormat="false" ht="24" hidden="false" customHeight="true" outlineLevel="0" collapsed="false">
      <c r="A44" s="31"/>
    </row>
    <row r="46" customFormat="false" ht="17.25" hidden="false" customHeight="true" outlineLevel="0" collapsed="false">
      <c r="A46" s="15" t="s">
        <v>16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customFormat="false" ht="19.5" hidden="false" customHeight="true" outlineLevel="0" collapsed="false">
      <c r="A47" s="32" t="str">
        <f aca="false">"Highest turnout: "&amp;INDEX(Helper!A3:A5,MATCH(MAX(Helper!D3:D5),Helper!D3:D5,0))&amp;" at "&amp;TEXT(MAX(Helper!D3:D5),"0.0%")&amp;", lowest: "&amp;INDEX(Helper!A3:A5,MATCH(MIN(Helper!D3:D5),Helper!D3:D5,0))&amp;" at "&amp;TEXT(MIN(Helper!D3:D5),"0.0%")&amp;"."</f>
        <v>Highest turnout: New Delhi at 51.1%, lowest: Mumbai South at 46.9%.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customFormat="false" ht="19.5" hidden="false" customHeight="true" outlineLevel="0" collapsed="false">
      <c r="A48" s="33" t="str">
        <f aca="false">"Leading party: "&amp;INDEX(Helper!F3:F5,MATCH(MAX(Helper!G3:G5),Helper!G3:G5,0))&amp;" with "&amp;TEXT(MAX(Helper!H3:H5),"0.0%")&amp;" vote share."</f>
        <v>Leading party: Unity Alliance with 33.6% vote share.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 customFormat="false" ht="19.5" hidden="false" customHeight="true" outlineLevel="0" collapsed="false">
      <c r="A49" s="32" t="str">
        <f aca="false">"Voter approval pipeline: "&amp;TEXT(Helper!C25,"0.0%")&amp;" approved, "&amp;TEXT(Helper!C26,"0.0%")&amp;" pending, "&amp;TEXT(Helper!C27,"0.0%")&amp;" rejected."</f>
        <v>Voter approval pipeline: 30.3% approved, 36.9% pending, 32.8% rejected.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1" customFormat="false" ht="15" hidden="false" customHeight="true" outlineLevel="0" collapsed="false">
      <c r="A51" s="34" t="str">
        <f aca="true">"Report generated: "&amp;TEXT(TODAY(),"dd mmm yyyy")</f>
        <v>Report generated: 18 Jul 2026</v>
      </c>
      <c r="B51" s="34"/>
      <c r="C51" s="34"/>
      <c r="D51" s="34"/>
      <c r="E51" s="34"/>
      <c r="F51" s="34"/>
      <c r="H51" s="35" t="s">
        <v>17</v>
      </c>
      <c r="I51" s="35"/>
      <c r="J51" s="35"/>
      <c r="K51" s="35"/>
      <c r="L51" s="35"/>
      <c r="M51" s="35"/>
    </row>
    <row r="53" customFormat="false" ht="24" hidden="false" customHeight="true" outlineLevel="0" collapsed="false">
      <c r="A53" s="36" t="s">
        <v>18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</sheetData>
  <mergeCells count="41">
    <mergeCell ref="A1:M1"/>
    <mergeCell ref="A2:M2"/>
    <mergeCell ref="A3:M3"/>
    <mergeCell ref="A6:C6"/>
    <mergeCell ref="D6:F6"/>
    <mergeCell ref="G6:I6"/>
    <mergeCell ref="J6:L6"/>
    <mergeCell ref="A7:C8"/>
    <mergeCell ref="D7:F8"/>
    <mergeCell ref="G7:I8"/>
    <mergeCell ref="J7:L8"/>
    <mergeCell ref="A10:M10"/>
    <mergeCell ref="A12:F12"/>
    <mergeCell ref="A13:B13"/>
    <mergeCell ref="C13:D13"/>
    <mergeCell ref="A14:B14"/>
    <mergeCell ref="C14:D14"/>
    <mergeCell ref="A15:B15"/>
    <mergeCell ref="C15:D15"/>
    <mergeCell ref="A16:B16"/>
    <mergeCell ref="C16:D16"/>
    <mergeCell ref="A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46:M46"/>
    <mergeCell ref="A47:M47"/>
    <mergeCell ref="A48:M48"/>
    <mergeCell ref="A49:M49"/>
    <mergeCell ref="A51:F51"/>
    <mergeCell ref="H51:M51"/>
    <mergeCell ref="A53:M53"/>
  </mergeCells>
  <conditionalFormatting sqref="F14:F1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0" min="10" style="1" width="22"/>
    <col collapsed="false" customWidth="true" hidden="false" outlineLevel="0" max="11" min="11" style="1" width="16"/>
    <col collapsed="false" customWidth="true" hidden="false" outlineLevel="0" max="12" min="12" style="1" width="22"/>
  </cols>
  <sheetData>
    <row r="1" customFormat="false" ht="27.75" hidden="false" customHeight="true" outlineLevel="0" collapsed="false">
      <c r="A1" s="37" t="s">
        <v>19</v>
      </c>
      <c r="B1" s="37" t="s">
        <v>20</v>
      </c>
      <c r="C1" s="37" t="s">
        <v>21</v>
      </c>
      <c r="D1" s="37" t="s">
        <v>22</v>
      </c>
      <c r="E1" s="37" t="s">
        <v>23</v>
      </c>
      <c r="F1" s="37" t="s">
        <v>24</v>
      </c>
      <c r="G1" s="37" t="s">
        <v>25</v>
      </c>
      <c r="H1" s="37" t="s">
        <v>26</v>
      </c>
      <c r="I1" s="37" t="s">
        <v>27</v>
      </c>
      <c r="J1" s="37" t="s">
        <v>28</v>
      </c>
      <c r="K1" s="37" t="s">
        <v>29</v>
      </c>
      <c r="L1" s="37" t="s">
        <v>30</v>
      </c>
    </row>
    <row r="2" customFormat="false" ht="15" hidden="false" customHeight="true" outlineLevel="0" collapsed="false">
      <c r="A2" s="38" t="n">
        <v>1</v>
      </c>
      <c r="B2" s="39" t="s">
        <v>31</v>
      </c>
      <c r="C2" s="39" t="s">
        <v>32</v>
      </c>
      <c r="D2" s="39" t="s">
        <v>33</v>
      </c>
      <c r="E2" s="40" t="b">
        <f aca="false">TRUE()</f>
        <v>1</v>
      </c>
      <c r="F2" s="38" t="s">
        <v>34</v>
      </c>
      <c r="G2" s="38" t="n">
        <v>1</v>
      </c>
      <c r="H2" s="39" t="s">
        <v>35</v>
      </c>
      <c r="I2" s="39" t="s">
        <v>36</v>
      </c>
      <c r="J2" s="39" t="s">
        <v>37</v>
      </c>
      <c r="K2" s="41" t="n">
        <f aca="false">IF(E2=TRUE(),1,0)</f>
        <v>1</v>
      </c>
      <c r="L2" s="42" t="n">
        <v>46218.2919675926</v>
      </c>
    </row>
    <row r="3" customFormat="false" ht="15" hidden="false" customHeight="true" outlineLevel="0" collapsed="false">
      <c r="A3" s="43" t="n">
        <v>2</v>
      </c>
      <c r="B3" s="44" t="s">
        <v>38</v>
      </c>
      <c r="C3" s="44" t="s">
        <v>39</v>
      </c>
      <c r="D3" s="44" t="s">
        <v>33</v>
      </c>
      <c r="E3" s="45" t="b">
        <f aca="false">FALSE()</f>
        <v>0</v>
      </c>
      <c r="F3" s="43" t="s">
        <v>40</v>
      </c>
      <c r="G3" s="43" t="n">
        <v>2</v>
      </c>
      <c r="H3" s="44" t="s">
        <v>41</v>
      </c>
      <c r="I3" s="44" t="s">
        <v>36</v>
      </c>
      <c r="J3" s="44" t="s">
        <v>37</v>
      </c>
      <c r="K3" s="46" t="n">
        <f aca="false">IF(E3=TRUE(),1,0)</f>
        <v>0</v>
      </c>
      <c r="L3" s="44"/>
    </row>
    <row r="4" customFormat="false" ht="15" hidden="false" customHeight="true" outlineLevel="0" collapsed="false">
      <c r="A4" s="38" t="n">
        <v>3</v>
      </c>
      <c r="B4" s="39" t="s">
        <v>42</v>
      </c>
      <c r="C4" s="39" t="s">
        <v>43</v>
      </c>
      <c r="D4" s="39" t="s">
        <v>37</v>
      </c>
      <c r="E4" s="40" t="b">
        <f aca="false">TRUE()</f>
        <v>1</v>
      </c>
      <c r="F4" s="38" t="s">
        <v>44</v>
      </c>
      <c r="G4" s="38" t="n">
        <v>3</v>
      </c>
      <c r="H4" s="39" t="s">
        <v>45</v>
      </c>
      <c r="I4" s="39" t="s">
        <v>46</v>
      </c>
      <c r="J4" s="39" t="s">
        <v>47</v>
      </c>
      <c r="K4" s="41" t="n">
        <f aca="false">IF(E4=TRUE(),1,0)</f>
        <v>1</v>
      </c>
      <c r="L4" s="42" t="n">
        <v>46218.2920949074</v>
      </c>
    </row>
    <row r="5" customFormat="false" ht="15" hidden="false" customHeight="true" outlineLevel="0" collapsed="false">
      <c r="A5" s="43" t="n">
        <v>4</v>
      </c>
      <c r="B5" s="44" t="s">
        <v>48</v>
      </c>
      <c r="C5" s="44" t="s">
        <v>49</v>
      </c>
      <c r="D5" s="44" t="s">
        <v>47</v>
      </c>
      <c r="E5" s="45" t="b">
        <f aca="false">TRUE()</f>
        <v>1</v>
      </c>
      <c r="F5" s="43" t="s">
        <v>44</v>
      </c>
      <c r="G5" s="43" t="n">
        <v>4</v>
      </c>
      <c r="H5" s="44" t="s">
        <v>50</v>
      </c>
      <c r="I5" s="44" t="s">
        <v>36</v>
      </c>
      <c r="J5" s="44" t="s">
        <v>47</v>
      </c>
      <c r="K5" s="46" t="n">
        <f aca="false">IF(E5=TRUE(),1,0)</f>
        <v>1</v>
      </c>
      <c r="L5" s="47" t="n">
        <v>46218.2929398148</v>
      </c>
    </row>
    <row r="6" customFormat="false" ht="15" hidden="false" customHeight="true" outlineLevel="0" collapsed="false">
      <c r="A6" s="38" t="n">
        <v>5</v>
      </c>
      <c r="B6" s="39" t="s">
        <v>51</v>
      </c>
      <c r="C6" s="39" t="s">
        <v>52</v>
      </c>
      <c r="D6" s="39" t="s">
        <v>47</v>
      </c>
      <c r="E6" s="40" t="b">
        <f aca="false">TRUE()</f>
        <v>1</v>
      </c>
      <c r="F6" s="38" t="s">
        <v>40</v>
      </c>
      <c r="G6" s="38" t="n">
        <v>5</v>
      </c>
      <c r="H6" s="39" t="s">
        <v>53</v>
      </c>
      <c r="I6" s="39" t="s">
        <v>36</v>
      </c>
      <c r="J6" s="39" t="s">
        <v>37</v>
      </c>
      <c r="K6" s="41" t="n">
        <f aca="false">IF(E6=TRUE(),1,0)</f>
        <v>1</v>
      </c>
      <c r="L6" s="42" t="n">
        <v>46218.2932986111</v>
      </c>
    </row>
    <row r="7" customFormat="false" ht="15" hidden="false" customHeight="true" outlineLevel="0" collapsed="false">
      <c r="A7" s="43" t="n">
        <v>6</v>
      </c>
      <c r="B7" s="44" t="s">
        <v>54</v>
      </c>
      <c r="C7" s="44" t="s">
        <v>55</v>
      </c>
      <c r="D7" s="44" t="s">
        <v>47</v>
      </c>
      <c r="E7" s="45" t="b">
        <f aca="false">TRUE()</f>
        <v>1</v>
      </c>
      <c r="F7" s="43" t="s">
        <v>44</v>
      </c>
      <c r="G7" s="43" t="n">
        <v>6</v>
      </c>
      <c r="H7" s="44" t="s">
        <v>56</v>
      </c>
      <c r="I7" s="44" t="s">
        <v>57</v>
      </c>
      <c r="J7" s="44" t="s">
        <v>47</v>
      </c>
      <c r="K7" s="46" t="n">
        <f aca="false">IF(E7=TRUE(),1,0)</f>
        <v>1</v>
      </c>
      <c r="L7" s="47" t="n">
        <v>46218.2941203704</v>
      </c>
    </row>
    <row r="8" customFormat="false" ht="15" hidden="false" customHeight="true" outlineLevel="0" collapsed="false">
      <c r="A8" s="38" t="n">
        <v>7</v>
      </c>
      <c r="B8" s="39" t="s">
        <v>58</v>
      </c>
      <c r="C8" s="39" t="s">
        <v>59</v>
      </c>
      <c r="D8" s="39" t="s">
        <v>47</v>
      </c>
      <c r="E8" s="40" t="b">
        <f aca="false">FALSE()</f>
        <v>0</v>
      </c>
      <c r="F8" s="38" t="s">
        <v>34</v>
      </c>
      <c r="G8" s="38" t="n">
        <v>7</v>
      </c>
      <c r="H8" s="39" t="s">
        <v>60</v>
      </c>
      <c r="I8" s="39" t="s">
        <v>36</v>
      </c>
      <c r="J8" s="39" t="s">
        <v>47</v>
      </c>
      <c r="K8" s="41" t="n">
        <f aca="false">IF(E8=TRUE(),1,0)</f>
        <v>0</v>
      </c>
      <c r="L8" s="39"/>
    </row>
    <row r="9" customFormat="false" ht="15" hidden="false" customHeight="true" outlineLevel="0" collapsed="false">
      <c r="A9" s="43" t="n">
        <v>8</v>
      </c>
      <c r="B9" s="44" t="s">
        <v>61</v>
      </c>
      <c r="C9" s="44" t="s">
        <v>62</v>
      </c>
      <c r="D9" s="44" t="s">
        <v>33</v>
      </c>
      <c r="E9" s="45" t="b">
        <f aca="false">FALSE()</f>
        <v>0</v>
      </c>
      <c r="F9" s="43" t="s">
        <v>34</v>
      </c>
      <c r="G9" s="43" t="n">
        <v>8</v>
      </c>
      <c r="H9" s="44" t="s">
        <v>63</v>
      </c>
      <c r="I9" s="44" t="s">
        <v>57</v>
      </c>
      <c r="J9" s="44" t="s">
        <v>33</v>
      </c>
      <c r="K9" s="46" t="n">
        <f aca="false">IF(E9=TRUE(),1,0)</f>
        <v>0</v>
      </c>
      <c r="L9" s="44"/>
    </row>
    <row r="10" customFormat="false" ht="15" hidden="false" customHeight="true" outlineLevel="0" collapsed="false">
      <c r="A10" s="38" t="n">
        <v>9</v>
      </c>
      <c r="B10" s="39" t="s">
        <v>64</v>
      </c>
      <c r="C10" s="39" t="s">
        <v>65</v>
      </c>
      <c r="D10" s="39" t="s">
        <v>37</v>
      </c>
      <c r="E10" s="40" t="b">
        <f aca="false">TRUE()</f>
        <v>1</v>
      </c>
      <c r="F10" s="38" t="s">
        <v>44</v>
      </c>
      <c r="G10" s="38" t="n">
        <v>9</v>
      </c>
      <c r="H10" s="39" t="s">
        <v>66</v>
      </c>
      <c r="I10" s="39" t="s">
        <v>36</v>
      </c>
      <c r="J10" s="39" t="s">
        <v>37</v>
      </c>
      <c r="K10" s="41" t="n">
        <f aca="false">IF(E10=TRUE(),1,0)</f>
        <v>1</v>
      </c>
      <c r="L10" s="42" t="n">
        <v>46218.2943518519</v>
      </c>
    </row>
    <row r="11" customFormat="false" ht="15" hidden="false" customHeight="true" outlineLevel="0" collapsed="false">
      <c r="A11" s="43" t="n">
        <v>10</v>
      </c>
      <c r="B11" s="44" t="s">
        <v>67</v>
      </c>
      <c r="C11" s="44" t="s">
        <v>68</v>
      </c>
      <c r="D11" s="44" t="s">
        <v>47</v>
      </c>
      <c r="E11" s="45" t="b">
        <f aca="false">FALSE()</f>
        <v>0</v>
      </c>
      <c r="F11" s="43" t="s">
        <v>44</v>
      </c>
      <c r="G11" s="43" t="n">
        <v>10</v>
      </c>
      <c r="H11" s="44" t="s">
        <v>69</v>
      </c>
      <c r="I11" s="44" t="s">
        <v>46</v>
      </c>
      <c r="J11" s="44" t="s">
        <v>37</v>
      </c>
      <c r="K11" s="46" t="n">
        <f aca="false">IF(E11=TRUE(),1,0)</f>
        <v>0</v>
      </c>
      <c r="L11" s="44"/>
    </row>
    <row r="12" customFormat="false" ht="15" hidden="false" customHeight="true" outlineLevel="0" collapsed="false">
      <c r="A12" s="38" t="n">
        <v>11</v>
      </c>
      <c r="B12" s="39" t="s">
        <v>70</v>
      </c>
      <c r="C12" s="39" t="s">
        <v>71</v>
      </c>
      <c r="D12" s="39" t="s">
        <v>33</v>
      </c>
      <c r="E12" s="40" t="b">
        <f aca="false">TRUE()</f>
        <v>1</v>
      </c>
      <c r="F12" s="38" t="s">
        <v>40</v>
      </c>
      <c r="G12" s="38" t="n">
        <v>11</v>
      </c>
      <c r="H12" s="39" t="s">
        <v>72</v>
      </c>
      <c r="I12" s="39" t="s">
        <v>57</v>
      </c>
      <c r="J12" s="39" t="s">
        <v>47</v>
      </c>
      <c r="K12" s="41" t="n">
        <f aca="false">IF(E12=TRUE(),1,0)</f>
        <v>1</v>
      </c>
      <c r="L12" s="42" t="n">
        <v>46218.2965856482</v>
      </c>
    </row>
    <row r="13" customFormat="false" ht="15" hidden="false" customHeight="true" outlineLevel="0" collapsed="false">
      <c r="A13" s="43" t="n">
        <v>12</v>
      </c>
      <c r="B13" s="44" t="s">
        <v>73</v>
      </c>
      <c r="C13" s="44" t="s">
        <v>74</v>
      </c>
      <c r="D13" s="44" t="s">
        <v>37</v>
      </c>
      <c r="E13" s="45" t="b">
        <f aca="false">TRUE()</f>
        <v>1</v>
      </c>
      <c r="F13" s="43" t="s">
        <v>34</v>
      </c>
      <c r="G13" s="43" t="n">
        <v>12</v>
      </c>
      <c r="H13" s="44" t="s">
        <v>75</v>
      </c>
      <c r="I13" s="44" t="s">
        <v>36</v>
      </c>
      <c r="J13" s="44" t="s">
        <v>33</v>
      </c>
      <c r="K13" s="46" t="n">
        <f aca="false">IF(E13=TRUE(),1,0)</f>
        <v>1</v>
      </c>
      <c r="L13" s="47" t="n">
        <v>46218.2971180556</v>
      </c>
    </row>
    <row r="14" customFormat="false" ht="15" hidden="false" customHeight="true" outlineLevel="0" collapsed="false">
      <c r="A14" s="38" t="n">
        <v>13</v>
      </c>
      <c r="B14" s="39" t="s">
        <v>76</v>
      </c>
      <c r="C14" s="39" t="s">
        <v>77</v>
      </c>
      <c r="D14" s="39" t="s">
        <v>33</v>
      </c>
      <c r="E14" s="40" t="b">
        <f aca="false">TRUE()</f>
        <v>1</v>
      </c>
      <c r="F14" s="38" t="s">
        <v>44</v>
      </c>
      <c r="G14" s="38" t="n">
        <v>13</v>
      </c>
      <c r="H14" s="39" t="s">
        <v>78</v>
      </c>
      <c r="I14" s="39" t="s">
        <v>46</v>
      </c>
      <c r="J14" s="39" t="s">
        <v>37</v>
      </c>
      <c r="K14" s="41" t="n">
        <f aca="false">IF(E14=TRUE(),1,0)</f>
        <v>1</v>
      </c>
      <c r="L14" s="42" t="n">
        <v>46218.2975925926</v>
      </c>
    </row>
    <row r="15" customFormat="false" ht="15" hidden="false" customHeight="true" outlineLevel="0" collapsed="false">
      <c r="A15" s="43" t="n">
        <v>14</v>
      </c>
      <c r="B15" s="44" t="s">
        <v>79</v>
      </c>
      <c r="C15" s="44" t="s">
        <v>80</v>
      </c>
      <c r="D15" s="44" t="s">
        <v>33</v>
      </c>
      <c r="E15" s="45" t="b">
        <f aca="false">FALSE()</f>
        <v>0</v>
      </c>
      <c r="F15" s="43" t="s">
        <v>44</v>
      </c>
      <c r="G15" s="43" t="n">
        <v>14</v>
      </c>
      <c r="H15" s="44" t="s">
        <v>81</v>
      </c>
      <c r="I15" s="44" t="s">
        <v>46</v>
      </c>
      <c r="J15" s="44" t="s">
        <v>37</v>
      </c>
      <c r="K15" s="46" t="n">
        <f aca="false">IF(E15=TRUE(),1,0)</f>
        <v>0</v>
      </c>
      <c r="L15" s="44"/>
    </row>
    <row r="16" customFormat="false" ht="15" hidden="false" customHeight="true" outlineLevel="0" collapsed="false">
      <c r="A16" s="38" t="n">
        <v>15</v>
      </c>
      <c r="B16" s="39" t="s">
        <v>82</v>
      </c>
      <c r="C16" s="39" t="s">
        <v>83</v>
      </c>
      <c r="D16" s="39" t="s">
        <v>37</v>
      </c>
      <c r="E16" s="40" t="b">
        <f aca="false">TRUE()</f>
        <v>1</v>
      </c>
      <c r="F16" s="38" t="s">
        <v>40</v>
      </c>
      <c r="G16" s="38" t="n">
        <v>15</v>
      </c>
      <c r="H16" s="39" t="s">
        <v>84</v>
      </c>
      <c r="I16" s="39" t="s">
        <v>57</v>
      </c>
      <c r="J16" s="39" t="s">
        <v>37</v>
      </c>
      <c r="K16" s="41" t="n">
        <f aca="false">IF(E16=TRUE(),1,0)</f>
        <v>1</v>
      </c>
      <c r="L16" s="42" t="n">
        <v>46218.2987268519</v>
      </c>
    </row>
    <row r="17" customFormat="false" ht="15" hidden="false" customHeight="true" outlineLevel="0" collapsed="false">
      <c r="A17" s="43" t="n">
        <v>16</v>
      </c>
      <c r="B17" s="44" t="s">
        <v>85</v>
      </c>
      <c r="C17" s="44" t="s">
        <v>86</v>
      </c>
      <c r="D17" s="44" t="s">
        <v>37</v>
      </c>
      <c r="E17" s="45" t="b">
        <f aca="false">FALSE()</f>
        <v>0</v>
      </c>
      <c r="F17" s="43" t="s">
        <v>34</v>
      </c>
      <c r="G17" s="43" t="n">
        <v>16</v>
      </c>
      <c r="H17" s="44" t="s">
        <v>87</v>
      </c>
      <c r="I17" s="44" t="s">
        <v>46</v>
      </c>
      <c r="J17" s="44" t="s">
        <v>37</v>
      </c>
      <c r="K17" s="46" t="n">
        <f aca="false">IF(E17=TRUE(),1,0)</f>
        <v>0</v>
      </c>
      <c r="L17" s="44"/>
    </row>
    <row r="18" customFormat="false" ht="15" hidden="false" customHeight="true" outlineLevel="0" collapsed="false">
      <c r="A18" s="38" t="n">
        <v>17</v>
      </c>
      <c r="B18" s="39" t="s">
        <v>88</v>
      </c>
      <c r="C18" s="39" t="s">
        <v>89</v>
      </c>
      <c r="D18" s="39" t="s">
        <v>33</v>
      </c>
      <c r="E18" s="40" t="b">
        <f aca="false">FALSE()</f>
        <v>0</v>
      </c>
      <c r="F18" s="38" t="s">
        <v>40</v>
      </c>
      <c r="G18" s="38" t="n">
        <v>17</v>
      </c>
      <c r="H18" s="39" t="s">
        <v>90</v>
      </c>
      <c r="I18" s="39" t="s">
        <v>57</v>
      </c>
      <c r="J18" s="39" t="s">
        <v>47</v>
      </c>
      <c r="K18" s="41" t="n">
        <f aca="false">IF(E18=TRUE(),1,0)</f>
        <v>0</v>
      </c>
      <c r="L18" s="39"/>
    </row>
    <row r="19" customFormat="false" ht="15" hidden="false" customHeight="true" outlineLevel="0" collapsed="false">
      <c r="A19" s="43" t="n">
        <v>18</v>
      </c>
      <c r="B19" s="44" t="s">
        <v>91</v>
      </c>
      <c r="C19" s="44" t="s">
        <v>92</v>
      </c>
      <c r="D19" s="44" t="s">
        <v>33</v>
      </c>
      <c r="E19" s="45" t="b">
        <f aca="false">TRUE()</f>
        <v>1</v>
      </c>
      <c r="F19" s="43" t="s">
        <v>40</v>
      </c>
      <c r="G19" s="43" t="n">
        <v>18</v>
      </c>
      <c r="H19" s="44" t="s">
        <v>93</v>
      </c>
      <c r="I19" s="44" t="s">
        <v>46</v>
      </c>
      <c r="J19" s="44" t="s">
        <v>47</v>
      </c>
      <c r="K19" s="46" t="n">
        <f aca="false">IF(E19=TRUE(),1,0)</f>
        <v>1</v>
      </c>
      <c r="L19" s="47" t="n">
        <v>46218.2989930556</v>
      </c>
    </row>
    <row r="20" customFormat="false" ht="15" hidden="false" customHeight="true" outlineLevel="0" collapsed="false">
      <c r="A20" s="38" t="n">
        <v>19</v>
      </c>
      <c r="B20" s="39" t="s">
        <v>94</v>
      </c>
      <c r="C20" s="39" t="s">
        <v>95</v>
      </c>
      <c r="D20" s="39" t="s">
        <v>33</v>
      </c>
      <c r="E20" s="40" t="b">
        <f aca="false">TRUE()</f>
        <v>1</v>
      </c>
      <c r="F20" s="38" t="s">
        <v>34</v>
      </c>
      <c r="G20" s="38" t="n">
        <v>19</v>
      </c>
      <c r="H20" s="39" t="s">
        <v>96</v>
      </c>
      <c r="I20" s="39" t="s">
        <v>57</v>
      </c>
      <c r="J20" s="39" t="s">
        <v>47</v>
      </c>
      <c r="K20" s="41" t="n">
        <f aca="false">IF(E20=TRUE(),1,0)</f>
        <v>1</v>
      </c>
      <c r="L20" s="42" t="n">
        <v>46218.3003703704</v>
      </c>
    </row>
    <row r="21" customFormat="false" ht="15" hidden="false" customHeight="true" outlineLevel="0" collapsed="false">
      <c r="A21" s="43" t="n">
        <v>20</v>
      </c>
      <c r="B21" s="44" t="s">
        <v>97</v>
      </c>
      <c r="C21" s="44" t="s">
        <v>98</v>
      </c>
      <c r="D21" s="44" t="s">
        <v>47</v>
      </c>
      <c r="E21" s="45" t="b">
        <f aca="false">TRUE()</f>
        <v>1</v>
      </c>
      <c r="F21" s="43" t="s">
        <v>44</v>
      </c>
      <c r="G21" s="43" t="n">
        <v>20</v>
      </c>
      <c r="H21" s="44" t="s">
        <v>99</v>
      </c>
      <c r="I21" s="44" t="s">
        <v>57</v>
      </c>
      <c r="J21" s="44" t="s">
        <v>37</v>
      </c>
      <c r="K21" s="46" t="n">
        <f aca="false">IF(E21=TRUE(),1,0)</f>
        <v>1</v>
      </c>
      <c r="L21" s="47" t="n">
        <v>46218.3028587963</v>
      </c>
    </row>
    <row r="22" customFormat="false" ht="15" hidden="false" customHeight="true" outlineLevel="0" collapsed="false">
      <c r="A22" s="38" t="n">
        <v>21</v>
      </c>
      <c r="B22" s="39" t="s">
        <v>100</v>
      </c>
      <c r="C22" s="39" t="s">
        <v>101</v>
      </c>
      <c r="D22" s="39" t="s">
        <v>47</v>
      </c>
      <c r="E22" s="40" t="b">
        <f aca="false">FALSE()</f>
        <v>0</v>
      </c>
      <c r="F22" s="38" t="s">
        <v>40</v>
      </c>
      <c r="G22" s="38" t="n">
        <v>21</v>
      </c>
      <c r="H22" s="39" t="s">
        <v>102</v>
      </c>
      <c r="I22" s="39" t="s">
        <v>46</v>
      </c>
      <c r="J22" s="39" t="s">
        <v>33</v>
      </c>
      <c r="K22" s="41" t="n">
        <f aca="false">IF(E22=TRUE(),1,0)</f>
        <v>0</v>
      </c>
      <c r="L22" s="39"/>
    </row>
    <row r="23" customFormat="false" ht="15" hidden="false" customHeight="true" outlineLevel="0" collapsed="false">
      <c r="A23" s="43" t="n">
        <v>22</v>
      </c>
      <c r="B23" s="44" t="s">
        <v>103</v>
      </c>
      <c r="C23" s="44" t="s">
        <v>104</v>
      </c>
      <c r="D23" s="44" t="s">
        <v>47</v>
      </c>
      <c r="E23" s="45" t="b">
        <f aca="false">TRUE()</f>
        <v>1</v>
      </c>
      <c r="F23" s="43" t="s">
        <v>40</v>
      </c>
      <c r="G23" s="43" t="n">
        <v>22</v>
      </c>
      <c r="H23" s="44" t="s">
        <v>105</v>
      </c>
      <c r="I23" s="44" t="s">
        <v>36</v>
      </c>
      <c r="J23" s="44" t="s">
        <v>37</v>
      </c>
      <c r="K23" s="46" t="n">
        <f aca="false">IF(E23=TRUE(),1,0)</f>
        <v>1</v>
      </c>
      <c r="L23" s="47" t="n">
        <v>46218.3064351852</v>
      </c>
    </row>
    <row r="24" customFormat="false" ht="15" hidden="false" customHeight="true" outlineLevel="0" collapsed="false">
      <c r="A24" s="38" t="n">
        <v>23</v>
      </c>
      <c r="B24" s="39" t="s">
        <v>106</v>
      </c>
      <c r="C24" s="39" t="s">
        <v>107</v>
      </c>
      <c r="D24" s="39" t="s">
        <v>33</v>
      </c>
      <c r="E24" s="40" t="b">
        <f aca="false">TRUE()</f>
        <v>1</v>
      </c>
      <c r="F24" s="38" t="s">
        <v>40</v>
      </c>
      <c r="G24" s="38" t="n">
        <v>23</v>
      </c>
      <c r="H24" s="39" t="s">
        <v>108</v>
      </c>
      <c r="I24" s="39" t="s">
        <v>46</v>
      </c>
      <c r="J24" s="39" t="s">
        <v>33</v>
      </c>
      <c r="K24" s="41" t="n">
        <f aca="false">IF(E24=TRUE(),1,0)</f>
        <v>1</v>
      </c>
      <c r="L24" s="42" t="n">
        <v>46218.3076157407</v>
      </c>
    </row>
    <row r="25" customFormat="false" ht="15" hidden="false" customHeight="true" outlineLevel="0" collapsed="false">
      <c r="A25" s="43" t="n">
        <v>24</v>
      </c>
      <c r="B25" s="44" t="s">
        <v>109</v>
      </c>
      <c r="C25" s="44" t="s">
        <v>110</v>
      </c>
      <c r="D25" s="44" t="s">
        <v>37</v>
      </c>
      <c r="E25" s="45" t="b">
        <f aca="false">TRUE()</f>
        <v>1</v>
      </c>
      <c r="F25" s="43" t="s">
        <v>44</v>
      </c>
      <c r="G25" s="43" t="n">
        <v>24</v>
      </c>
      <c r="H25" s="44" t="s">
        <v>111</v>
      </c>
      <c r="I25" s="44" t="s">
        <v>46</v>
      </c>
      <c r="J25" s="44" t="s">
        <v>33</v>
      </c>
      <c r="K25" s="46" t="n">
        <f aca="false">IF(E25=TRUE(),1,0)</f>
        <v>1</v>
      </c>
      <c r="L25" s="47" t="n">
        <v>46218.3096064815</v>
      </c>
    </row>
    <row r="26" customFormat="false" ht="15" hidden="false" customHeight="true" outlineLevel="0" collapsed="false">
      <c r="A26" s="38" t="n">
        <v>25</v>
      </c>
      <c r="B26" s="39" t="s">
        <v>112</v>
      </c>
      <c r="C26" s="39" t="s">
        <v>113</v>
      </c>
      <c r="D26" s="39" t="s">
        <v>37</v>
      </c>
      <c r="E26" s="40" t="b">
        <f aca="false">TRUE()</f>
        <v>1</v>
      </c>
      <c r="F26" s="38" t="s">
        <v>44</v>
      </c>
      <c r="G26" s="38" t="n">
        <v>25</v>
      </c>
      <c r="H26" s="39" t="s">
        <v>114</v>
      </c>
      <c r="I26" s="39" t="s">
        <v>36</v>
      </c>
      <c r="J26" s="39" t="s">
        <v>37</v>
      </c>
      <c r="K26" s="41" t="n">
        <f aca="false">IF(E26=TRUE(),1,0)</f>
        <v>1</v>
      </c>
      <c r="L26" s="42" t="n">
        <v>46218.310462963</v>
      </c>
    </row>
    <row r="27" customFormat="false" ht="15" hidden="false" customHeight="true" outlineLevel="0" collapsed="false">
      <c r="A27" s="43" t="n">
        <v>26</v>
      </c>
      <c r="B27" s="44" t="s">
        <v>115</v>
      </c>
      <c r="C27" s="44" t="s">
        <v>116</v>
      </c>
      <c r="D27" s="44" t="s">
        <v>33</v>
      </c>
      <c r="E27" s="45" t="b">
        <f aca="false">TRUE()</f>
        <v>1</v>
      </c>
      <c r="F27" s="43" t="s">
        <v>44</v>
      </c>
      <c r="G27" s="43" t="n">
        <v>26</v>
      </c>
      <c r="H27" s="44" t="s">
        <v>117</v>
      </c>
      <c r="I27" s="44" t="s">
        <v>36</v>
      </c>
      <c r="J27" s="44" t="s">
        <v>37</v>
      </c>
      <c r="K27" s="46" t="n">
        <f aca="false">IF(E27=TRUE(),1,0)</f>
        <v>1</v>
      </c>
      <c r="L27" s="47" t="n">
        <v>46218.3106365741</v>
      </c>
    </row>
    <row r="28" customFormat="false" ht="15" hidden="false" customHeight="true" outlineLevel="0" collapsed="false">
      <c r="A28" s="38" t="n">
        <v>27</v>
      </c>
      <c r="B28" s="39" t="s">
        <v>118</v>
      </c>
      <c r="C28" s="39" t="s">
        <v>119</v>
      </c>
      <c r="D28" s="39" t="s">
        <v>37</v>
      </c>
      <c r="E28" s="40" t="b">
        <f aca="false">TRUE()</f>
        <v>1</v>
      </c>
      <c r="F28" s="38" t="s">
        <v>44</v>
      </c>
      <c r="G28" s="38" t="n">
        <v>27</v>
      </c>
      <c r="H28" s="39" t="s">
        <v>120</v>
      </c>
      <c r="I28" s="39" t="s">
        <v>36</v>
      </c>
      <c r="J28" s="39" t="s">
        <v>33</v>
      </c>
      <c r="K28" s="41" t="n">
        <f aca="false">IF(E28=TRUE(),1,0)</f>
        <v>1</v>
      </c>
      <c r="L28" s="42" t="n">
        <v>46218.3117939815</v>
      </c>
    </row>
    <row r="29" customFormat="false" ht="15" hidden="false" customHeight="true" outlineLevel="0" collapsed="false">
      <c r="A29" s="43" t="n">
        <v>28</v>
      </c>
      <c r="B29" s="44" t="s">
        <v>121</v>
      </c>
      <c r="C29" s="44" t="s">
        <v>122</v>
      </c>
      <c r="D29" s="44" t="s">
        <v>37</v>
      </c>
      <c r="E29" s="45" t="b">
        <f aca="false">FALSE()</f>
        <v>0</v>
      </c>
      <c r="F29" s="43" t="s">
        <v>40</v>
      </c>
      <c r="G29" s="43" t="n">
        <v>28</v>
      </c>
      <c r="H29" s="44" t="s">
        <v>123</v>
      </c>
      <c r="I29" s="44" t="s">
        <v>36</v>
      </c>
      <c r="J29" s="44" t="s">
        <v>37</v>
      </c>
      <c r="K29" s="46" t="n">
        <f aca="false">IF(E29=TRUE(),1,0)</f>
        <v>0</v>
      </c>
      <c r="L29" s="44"/>
    </row>
    <row r="30" customFormat="false" ht="15" hidden="false" customHeight="true" outlineLevel="0" collapsed="false">
      <c r="A30" s="38" t="n">
        <v>29</v>
      </c>
      <c r="B30" s="39" t="s">
        <v>124</v>
      </c>
      <c r="C30" s="39" t="s">
        <v>125</v>
      </c>
      <c r="D30" s="39" t="s">
        <v>33</v>
      </c>
      <c r="E30" s="40" t="b">
        <f aca="false">FALSE()</f>
        <v>0</v>
      </c>
      <c r="F30" s="38" t="s">
        <v>44</v>
      </c>
      <c r="G30" s="38" t="n">
        <v>29</v>
      </c>
      <c r="H30" s="39" t="s">
        <v>126</v>
      </c>
      <c r="I30" s="39" t="s">
        <v>46</v>
      </c>
      <c r="J30" s="39" t="s">
        <v>47</v>
      </c>
      <c r="K30" s="41" t="n">
        <f aca="false">IF(E30=TRUE(),1,0)</f>
        <v>0</v>
      </c>
      <c r="L30" s="39"/>
    </row>
    <row r="31" customFormat="false" ht="15" hidden="false" customHeight="true" outlineLevel="0" collapsed="false">
      <c r="A31" s="43" t="n">
        <v>30</v>
      </c>
      <c r="B31" s="44" t="s">
        <v>127</v>
      </c>
      <c r="C31" s="44" t="s">
        <v>128</v>
      </c>
      <c r="D31" s="44" t="s">
        <v>37</v>
      </c>
      <c r="E31" s="45" t="b">
        <f aca="false">TRUE()</f>
        <v>1</v>
      </c>
      <c r="F31" s="43" t="s">
        <v>44</v>
      </c>
      <c r="G31" s="43" t="n">
        <v>30</v>
      </c>
      <c r="H31" s="44" t="s">
        <v>129</v>
      </c>
      <c r="I31" s="44" t="s">
        <v>36</v>
      </c>
      <c r="J31" s="44" t="s">
        <v>37</v>
      </c>
      <c r="K31" s="46" t="n">
        <f aca="false">IF(E31=TRUE(),1,0)</f>
        <v>1</v>
      </c>
      <c r="L31" s="47" t="n">
        <v>46218.3125925926</v>
      </c>
    </row>
    <row r="32" customFormat="false" ht="15" hidden="false" customHeight="true" outlineLevel="0" collapsed="false">
      <c r="A32" s="38" t="n">
        <v>31</v>
      </c>
      <c r="B32" s="39" t="s">
        <v>130</v>
      </c>
      <c r="C32" s="39" t="s">
        <v>131</v>
      </c>
      <c r="D32" s="39" t="s">
        <v>37</v>
      </c>
      <c r="E32" s="40" t="b">
        <f aca="false">TRUE()</f>
        <v>1</v>
      </c>
      <c r="F32" s="38" t="s">
        <v>44</v>
      </c>
      <c r="G32" s="38" t="n">
        <v>31</v>
      </c>
      <c r="H32" s="39" t="s">
        <v>132</v>
      </c>
      <c r="I32" s="39" t="s">
        <v>36</v>
      </c>
      <c r="J32" s="39" t="s">
        <v>47</v>
      </c>
      <c r="K32" s="41" t="n">
        <f aca="false">IF(E32=TRUE(),1,0)</f>
        <v>1</v>
      </c>
      <c r="L32" s="42" t="n">
        <v>46218.3142592593</v>
      </c>
    </row>
    <row r="33" customFormat="false" ht="15" hidden="false" customHeight="true" outlineLevel="0" collapsed="false">
      <c r="A33" s="43" t="n">
        <v>32</v>
      </c>
      <c r="B33" s="44" t="s">
        <v>133</v>
      </c>
      <c r="C33" s="44" t="s">
        <v>134</v>
      </c>
      <c r="D33" s="44" t="s">
        <v>33</v>
      </c>
      <c r="E33" s="45" t="b">
        <f aca="false">TRUE()</f>
        <v>1</v>
      </c>
      <c r="F33" s="43" t="s">
        <v>34</v>
      </c>
      <c r="G33" s="43" t="n">
        <v>32</v>
      </c>
      <c r="H33" s="44" t="s">
        <v>135</v>
      </c>
      <c r="I33" s="44" t="s">
        <v>36</v>
      </c>
      <c r="J33" s="44" t="s">
        <v>33</v>
      </c>
      <c r="K33" s="46" t="n">
        <f aca="false">IF(E33=TRUE(),1,0)</f>
        <v>1</v>
      </c>
      <c r="L33" s="47" t="n">
        <v>46218.3154861111</v>
      </c>
    </row>
    <row r="34" customFormat="false" ht="15" hidden="false" customHeight="true" outlineLevel="0" collapsed="false">
      <c r="A34" s="38" t="n">
        <v>33</v>
      </c>
      <c r="B34" s="39" t="s">
        <v>136</v>
      </c>
      <c r="C34" s="39" t="s">
        <v>137</v>
      </c>
      <c r="D34" s="39" t="s">
        <v>47</v>
      </c>
      <c r="E34" s="40" t="b">
        <f aca="false">FALSE()</f>
        <v>0</v>
      </c>
      <c r="F34" s="38" t="s">
        <v>40</v>
      </c>
      <c r="G34" s="38" t="n">
        <v>33</v>
      </c>
      <c r="H34" s="39" t="s">
        <v>138</v>
      </c>
      <c r="I34" s="39" t="s">
        <v>46</v>
      </c>
      <c r="J34" s="39" t="s">
        <v>37</v>
      </c>
      <c r="K34" s="41" t="n">
        <f aca="false">IF(E34=TRUE(),1,0)</f>
        <v>0</v>
      </c>
      <c r="L34" s="39"/>
    </row>
    <row r="35" customFormat="false" ht="15" hidden="false" customHeight="true" outlineLevel="0" collapsed="false">
      <c r="A35" s="43" t="n">
        <v>34</v>
      </c>
      <c r="B35" s="44" t="s">
        <v>139</v>
      </c>
      <c r="C35" s="44" t="s">
        <v>140</v>
      </c>
      <c r="D35" s="44" t="s">
        <v>33</v>
      </c>
      <c r="E35" s="45" t="b">
        <f aca="false">FALSE()</f>
        <v>0</v>
      </c>
      <c r="F35" s="43" t="s">
        <v>44</v>
      </c>
      <c r="G35" s="43" t="n">
        <v>34</v>
      </c>
      <c r="H35" s="44" t="s">
        <v>141</v>
      </c>
      <c r="I35" s="44" t="s">
        <v>57</v>
      </c>
      <c r="J35" s="44" t="s">
        <v>33</v>
      </c>
      <c r="K35" s="46" t="n">
        <f aca="false">IF(E35=TRUE(),1,0)</f>
        <v>0</v>
      </c>
      <c r="L35" s="44"/>
    </row>
    <row r="36" customFormat="false" ht="15" hidden="false" customHeight="true" outlineLevel="0" collapsed="false">
      <c r="A36" s="38" t="n">
        <v>35</v>
      </c>
      <c r="B36" s="39" t="s">
        <v>142</v>
      </c>
      <c r="C36" s="39" t="s">
        <v>143</v>
      </c>
      <c r="D36" s="39" t="s">
        <v>33</v>
      </c>
      <c r="E36" s="40" t="b">
        <f aca="false">FALSE()</f>
        <v>0</v>
      </c>
      <c r="F36" s="38" t="s">
        <v>34</v>
      </c>
      <c r="G36" s="38" t="n">
        <v>35</v>
      </c>
      <c r="H36" s="39" t="s">
        <v>144</v>
      </c>
      <c r="I36" s="39" t="s">
        <v>36</v>
      </c>
      <c r="J36" s="39" t="s">
        <v>33</v>
      </c>
      <c r="K36" s="41" t="n">
        <f aca="false">IF(E36=TRUE(),1,0)</f>
        <v>0</v>
      </c>
      <c r="L36" s="39"/>
    </row>
    <row r="37" customFormat="false" ht="15" hidden="false" customHeight="true" outlineLevel="0" collapsed="false">
      <c r="A37" s="43" t="n">
        <v>36</v>
      </c>
      <c r="B37" s="44" t="s">
        <v>145</v>
      </c>
      <c r="C37" s="44" t="s">
        <v>146</v>
      </c>
      <c r="D37" s="44" t="s">
        <v>47</v>
      </c>
      <c r="E37" s="45" t="b">
        <f aca="false">FALSE()</f>
        <v>0</v>
      </c>
      <c r="F37" s="43" t="s">
        <v>34</v>
      </c>
      <c r="G37" s="43" t="n">
        <v>36</v>
      </c>
      <c r="H37" s="44" t="s">
        <v>147</v>
      </c>
      <c r="I37" s="44" t="s">
        <v>46</v>
      </c>
      <c r="J37" s="44" t="s">
        <v>47</v>
      </c>
      <c r="K37" s="46" t="n">
        <f aca="false">IF(E37=TRUE(),1,0)</f>
        <v>0</v>
      </c>
      <c r="L37" s="44"/>
    </row>
    <row r="38" customFormat="false" ht="15" hidden="false" customHeight="true" outlineLevel="0" collapsed="false">
      <c r="A38" s="38" t="n">
        <v>37</v>
      </c>
      <c r="B38" s="39" t="s">
        <v>148</v>
      </c>
      <c r="C38" s="39" t="s">
        <v>149</v>
      </c>
      <c r="D38" s="39" t="s">
        <v>37</v>
      </c>
      <c r="E38" s="40" t="b">
        <f aca="false">FALSE()</f>
        <v>0</v>
      </c>
      <c r="F38" s="38" t="s">
        <v>40</v>
      </c>
      <c r="G38" s="38" t="n">
        <v>37</v>
      </c>
      <c r="H38" s="39" t="s">
        <v>150</v>
      </c>
      <c r="I38" s="39" t="s">
        <v>57</v>
      </c>
      <c r="J38" s="39" t="s">
        <v>47</v>
      </c>
      <c r="K38" s="41" t="n">
        <f aca="false">IF(E38=TRUE(),1,0)</f>
        <v>0</v>
      </c>
      <c r="L38" s="39"/>
    </row>
    <row r="39" customFormat="false" ht="15" hidden="false" customHeight="true" outlineLevel="0" collapsed="false">
      <c r="A39" s="43" t="n">
        <v>38</v>
      </c>
      <c r="B39" s="44" t="s">
        <v>151</v>
      </c>
      <c r="C39" s="44" t="s">
        <v>152</v>
      </c>
      <c r="D39" s="44" t="s">
        <v>47</v>
      </c>
      <c r="E39" s="45" t="b">
        <f aca="false">FALSE()</f>
        <v>0</v>
      </c>
      <c r="F39" s="43" t="s">
        <v>40</v>
      </c>
      <c r="G39" s="43" t="n">
        <v>38</v>
      </c>
      <c r="H39" s="44" t="s">
        <v>153</v>
      </c>
      <c r="I39" s="44" t="s">
        <v>36</v>
      </c>
      <c r="J39" s="44" t="s">
        <v>33</v>
      </c>
      <c r="K39" s="46" t="n">
        <f aca="false">IF(E39=TRUE(),1,0)</f>
        <v>0</v>
      </c>
      <c r="L39" s="44"/>
    </row>
    <row r="40" customFormat="false" ht="15" hidden="false" customHeight="true" outlineLevel="0" collapsed="false">
      <c r="A40" s="38" t="n">
        <v>39</v>
      </c>
      <c r="B40" s="39" t="s">
        <v>154</v>
      </c>
      <c r="C40" s="39" t="s">
        <v>155</v>
      </c>
      <c r="D40" s="39" t="s">
        <v>47</v>
      </c>
      <c r="E40" s="40" t="b">
        <f aca="false">FALSE()</f>
        <v>0</v>
      </c>
      <c r="F40" s="38" t="s">
        <v>40</v>
      </c>
      <c r="G40" s="38" t="n">
        <v>39</v>
      </c>
      <c r="H40" s="39" t="s">
        <v>156</v>
      </c>
      <c r="I40" s="39" t="s">
        <v>36</v>
      </c>
      <c r="J40" s="39" t="s">
        <v>47</v>
      </c>
      <c r="K40" s="41" t="n">
        <f aca="false">IF(E40=TRUE(),1,0)</f>
        <v>0</v>
      </c>
      <c r="L40" s="39"/>
    </row>
    <row r="41" customFormat="false" ht="15" hidden="false" customHeight="true" outlineLevel="0" collapsed="false">
      <c r="A41" s="43" t="n">
        <v>40</v>
      </c>
      <c r="B41" s="44" t="s">
        <v>157</v>
      </c>
      <c r="C41" s="44" t="s">
        <v>158</v>
      </c>
      <c r="D41" s="44" t="s">
        <v>47</v>
      </c>
      <c r="E41" s="45" t="b">
        <f aca="false">TRUE()</f>
        <v>1</v>
      </c>
      <c r="F41" s="43" t="s">
        <v>34</v>
      </c>
      <c r="G41" s="43" t="n">
        <v>40</v>
      </c>
      <c r="H41" s="44" t="s">
        <v>159</v>
      </c>
      <c r="I41" s="44" t="s">
        <v>36</v>
      </c>
      <c r="J41" s="44" t="s">
        <v>37</v>
      </c>
      <c r="K41" s="46" t="n">
        <f aca="false">IF(E41=TRUE(),1,0)</f>
        <v>1</v>
      </c>
      <c r="L41" s="47" t="n">
        <v>46218.3157638889</v>
      </c>
    </row>
    <row r="42" customFormat="false" ht="15" hidden="false" customHeight="true" outlineLevel="0" collapsed="false">
      <c r="A42" s="38" t="n">
        <v>41</v>
      </c>
      <c r="B42" s="39" t="s">
        <v>160</v>
      </c>
      <c r="C42" s="39" t="s">
        <v>161</v>
      </c>
      <c r="D42" s="39" t="s">
        <v>47</v>
      </c>
      <c r="E42" s="40" t="b">
        <f aca="false">TRUE()</f>
        <v>1</v>
      </c>
      <c r="F42" s="38" t="s">
        <v>34</v>
      </c>
      <c r="G42" s="38" t="n">
        <v>41</v>
      </c>
      <c r="H42" s="39" t="s">
        <v>162</v>
      </c>
      <c r="I42" s="39" t="s">
        <v>57</v>
      </c>
      <c r="J42" s="39" t="s">
        <v>37</v>
      </c>
      <c r="K42" s="41" t="n">
        <f aca="false">IF(E42=TRUE(),1,0)</f>
        <v>1</v>
      </c>
      <c r="L42" s="42" t="n">
        <v>46218.3160069444</v>
      </c>
    </row>
    <row r="43" customFormat="false" ht="15" hidden="false" customHeight="true" outlineLevel="0" collapsed="false">
      <c r="A43" s="43" t="n">
        <v>42</v>
      </c>
      <c r="B43" s="44" t="s">
        <v>163</v>
      </c>
      <c r="C43" s="44" t="s">
        <v>164</v>
      </c>
      <c r="D43" s="44" t="s">
        <v>37</v>
      </c>
      <c r="E43" s="45" t="b">
        <f aca="false">FALSE()</f>
        <v>0</v>
      </c>
      <c r="F43" s="43" t="s">
        <v>40</v>
      </c>
      <c r="G43" s="43" t="n">
        <v>42</v>
      </c>
      <c r="H43" s="44" t="s">
        <v>165</v>
      </c>
      <c r="I43" s="44" t="s">
        <v>57</v>
      </c>
      <c r="J43" s="44" t="s">
        <v>33</v>
      </c>
      <c r="K43" s="46" t="n">
        <f aca="false">IF(E43=TRUE(),1,0)</f>
        <v>0</v>
      </c>
      <c r="L43" s="44"/>
    </row>
    <row r="44" customFormat="false" ht="15" hidden="false" customHeight="true" outlineLevel="0" collapsed="false">
      <c r="A44" s="38" t="n">
        <v>43</v>
      </c>
      <c r="B44" s="39" t="s">
        <v>166</v>
      </c>
      <c r="C44" s="39" t="s">
        <v>167</v>
      </c>
      <c r="D44" s="39" t="s">
        <v>33</v>
      </c>
      <c r="E44" s="40" t="b">
        <f aca="false">TRUE()</f>
        <v>1</v>
      </c>
      <c r="F44" s="38" t="s">
        <v>40</v>
      </c>
      <c r="G44" s="38" t="n">
        <v>43</v>
      </c>
      <c r="H44" s="39" t="s">
        <v>168</v>
      </c>
      <c r="I44" s="39" t="s">
        <v>57</v>
      </c>
      <c r="J44" s="39" t="s">
        <v>33</v>
      </c>
      <c r="K44" s="41" t="n">
        <f aca="false">IF(E44=TRUE(),1,0)</f>
        <v>1</v>
      </c>
      <c r="L44" s="42" t="n">
        <v>46218.3189930556</v>
      </c>
    </row>
    <row r="45" customFormat="false" ht="15" hidden="false" customHeight="true" outlineLevel="0" collapsed="false">
      <c r="A45" s="43" t="n">
        <v>44</v>
      </c>
      <c r="B45" s="44" t="s">
        <v>169</v>
      </c>
      <c r="C45" s="44" t="s">
        <v>170</v>
      </c>
      <c r="D45" s="44" t="s">
        <v>37</v>
      </c>
      <c r="E45" s="45" t="b">
        <f aca="false">TRUE()</f>
        <v>1</v>
      </c>
      <c r="F45" s="43" t="s">
        <v>40</v>
      </c>
      <c r="G45" s="43" t="n">
        <v>44</v>
      </c>
      <c r="H45" s="44" t="s">
        <v>171</v>
      </c>
      <c r="I45" s="44" t="s">
        <v>36</v>
      </c>
      <c r="J45" s="44" t="s">
        <v>37</v>
      </c>
      <c r="K45" s="46" t="n">
        <f aca="false">IF(E45=TRUE(),1,0)</f>
        <v>1</v>
      </c>
      <c r="L45" s="47" t="n">
        <v>46218.3206828704</v>
      </c>
    </row>
    <row r="46" customFormat="false" ht="15" hidden="false" customHeight="true" outlineLevel="0" collapsed="false">
      <c r="A46" s="38" t="n">
        <v>45</v>
      </c>
      <c r="B46" s="39" t="s">
        <v>172</v>
      </c>
      <c r="C46" s="39" t="s">
        <v>173</v>
      </c>
      <c r="D46" s="39" t="s">
        <v>37</v>
      </c>
      <c r="E46" s="40" t="b">
        <f aca="false">TRUE()</f>
        <v>1</v>
      </c>
      <c r="F46" s="38" t="s">
        <v>34</v>
      </c>
      <c r="G46" s="38" t="n">
        <v>45</v>
      </c>
      <c r="H46" s="39" t="s">
        <v>174</v>
      </c>
      <c r="I46" s="39" t="s">
        <v>57</v>
      </c>
      <c r="J46" s="39" t="s">
        <v>47</v>
      </c>
      <c r="K46" s="41" t="n">
        <f aca="false">IF(E46=TRUE(),1,0)</f>
        <v>1</v>
      </c>
      <c r="L46" s="42" t="n">
        <v>46218.3210300926</v>
      </c>
    </row>
    <row r="47" customFormat="false" ht="15" hidden="false" customHeight="true" outlineLevel="0" collapsed="false">
      <c r="A47" s="43" t="n">
        <v>46</v>
      </c>
      <c r="B47" s="44" t="s">
        <v>175</v>
      </c>
      <c r="C47" s="44" t="s">
        <v>176</v>
      </c>
      <c r="D47" s="44" t="s">
        <v>33</v>
      </c>
      <c r="E47" s="45" t="b">
        <f aca="false">TRUE()</f>
        <v>1</v>
      </c>
      <c r="F47" s="43" t="s">
        <v>44</v>
      </c>
      <c r="G47" s="43" t="n">
        <v>46</v>
      </c>
      <c r="H47" s="44" t="s">
        <v>177</v>
      </c>
      <c r="I47" s="44" t="s">
        <v>57</v>
      </c>
      <c r="J47" s="44" t="s">
        <v>37</v>
      </c>
      <c r="K47" s="46" t="n">
        <f aca="false">IF(E47=TRUE(),1,0)</f>
        <v>1</v>
      </c>
      <c r="L47" s="47" t="n">
        <v>46218.3218055556</v>
      </c>
    </row>
    <row r="48" customFormat="false" ht="15" hidden="false" customHeight="true" outlineLevel="0" collapsed="false">
      <c r="A48" s="38" t="n">
        <v>47</v>
      </c>
      <c r="B48" s="39" t="s">
        <v>178</v>
      </c>
      <c r="C48" s="39" t="s">
        <v>179</v>
      </c>
      <c r="D48" s="39" t="s">
        <v>37</v>
      </c>
      <c r="E48" s="40" t="b">
        <f aca="false">FALSE()</f>
        <v>0</v>
      </c>
      <c r="F48" s="38" t="s">
        <v>34</v>
      </c>
      <c r="G48" s="38" t="n">
        <v>47</v>
      </c>
      <c r="H48" s="39" t="s">
        <v>180</v>
      </c>
      <c r="I48" s="39" t="s">
        <v>36</v>
      </c>
      <c r="J48" s="39" t="s">
        <v>47</v>
      </c>
      <c r="K48" s="41" t="n">
        <f aca="false">IF(E48=TRUE(),1,0)</f>
        <v>0</v>
      </c>
      <c r="L48" s="39"/>
    </row>
    <row r="49" customFormat="false" ht="15" hidden="false" customHeight="true" outlineLevel="0" collapsed="false">
      <c r="A49" s="43" t="n">
        <v>48</v>
      </c>
      <c r="B49" s="44" t="s">
        <v>181</v>
      </c>
      <c r="C49" s="44" t="s">
        <v>182</v>
      </c>
      <c r="D49" s="44" t="s">
        <v>33</v>
      </c>
      <c r="E49" s="45" t="b">
        <f aca="false">FALSE()</f>
        <v>0</v>
      </c>
      <c r="F49" s="43" t="s">
        <v>34</v>
      </c>
      <c r="G49" s="43" t="n">
        <v>48</v>
      </c>
      <c r="H49" s="44" t="s">
        <v>183</v>
      </c>
      <c r="I49" s="44" t="s">
        <v>46</v>
      </c>
      <c r="J49" s="44" t="s">
        <v>37</v>
      </c>
      <c r="K49" s="46" t="n">
        <f aca="false">IF(E49=TRUE(),1,0)</f>
        <v>0</v>
      </c>
      <c r="L49" s="44"/>
    </row>
    <row r="50" customFormat="false" ht="15" hidden="false" customHeight="true" outlineLevel="0" collapsed="false">
      <c r="A50" s="38" t="n">
        <v>49</v>
      </c>
      <c r="B50" s="39" t="s">
        <v>184</v>
      </c>
      <c r="C50" s="39" t="s">
        <v>185</v>
      </c>
      <c r="D50" s="39" t="s">
        <v>33</v>
      </c>
      <c r="E50" s="40" t="b">
        <f aca="false">FALSE()</f>
        <v>0</v>
      </c>
      <c r="F50" s="38" t="s">
        <v>34</v>
      </c>
      <c r="G50" s="38" t="n">
        <v>49</v>
      </c>
      <c r="H50" s="39" t="s">
        <v>186</v>
      </c>
      <c r="I50" s="39" t="s">
        <v>57</v>
      </c>
      <c r="J50" s="39" t="s">
        <v>47</v>
      </c>
      <c r="K50" s="41" t="n">
        <f aca="false">IF(E50=TRUE(),1,0)</f>
        <v>0</v>
      </c>
      <c r="L50" s="39"/>
    </row>
    <row r="51" customFormat="false" ht="15" hidden="false" customHeight="true" outlineLevel="0" collapsed="false">
      <c r="A51" s="43" t="n">
        <v>50</v>
      </c>
      <c r="B51" s="44" t="s">
        <v>187</v>
      </c>
      <c r="C51" s="44" t="s">
        <v>188</v>
      </c>
      <c r="D51" s="44" t="s">
        <v>33</v>
      </c>
      <c r="E51" s="45" t="b">
        <f aca="false">TRUE()</f>
        <v>1</v>
      </c>
      <c r="F51" s="43" t="s">
        <v>34</v>
      </c>
      <c r="G51" s="43" t="n">
        <v>50</v>
      </c>
      <c r="H51" s="44" t="s">
        <v>189</v>
      </c>
      <c r="I51" s="44" t="s">
        <v>57</v>
      </c>
      <c r="J51" s="44" t="s">
        <v>37</v>
      </c>
      <c r="K51" s="46" t="n">
        <f aca="false">IF(E51=TRUE(),1,0)</f>
        <v>1</v>
      </c>
      <c r="L51" s="47" t="n">
        <v>46218.3219212963</v>
      </c>
    </row>
    <row r="52" customFormat="false" ht="15" hidden="false" customHeight="true" outlineLevel="0" collapsed="false">
      <c r="A52" s="38" t="n">
        <v>51</v>
      </c>
      <c r="B52" s="39" t="s">
        <v>190</v>
      </c>
      <c r="C52" s="39" t="s">
        <v>191</v>
      </c>
      <c r="D52" s="39" t="s">
        <v>47</v>
      </c>
      <c r="E52" s="40" t="b">
        <f aca="false">FALSE()</f>
        <v>0</v>
      </c>
      <c r="F52" s="38" t="s">
        <v>34</v>
      </c>
      <c r="G52" s="38" t="n">
        <v>51</v>
      </c>
      <c r="H52" s="39" t="s">
        <v>192</v>
      </c>
      <c r="I52" s="39" t="s">
        <v>46</v>
      </c>
      <c r="J52" s="39" t="s">
        <v>37</v>
      </c>
      <c r="K52" s="41" t="n">
        <f aca="false">IF(E52=TRUE(),1,0)</f>
        <v>0</v>
      </c>
      <c r="L52" s="39"/>
    </row>
    <row r="53" customFormat="false" ht="15" hidden="false" customHeight="true" outlineLevel="0" collapsed="false">
      <c r="A53" s="43" t="n">
        <v>52</v>
      </c>
      <c r="B53" s="44" t="s">
        <v>193</v>
      </c>
      <c r="C53" s="44" t="s">
        <v>194</v>
      </c>
      <c r="D53" s="44" t="s">
        <v>33</v>
      </c>
      <c r="E53" s="45" t="b">
        <f aca="false">FALSE()</f>
        <v>0</v>
      </c>
      <c r="F53" s="43" t="s">
        <v>44</v>
      </c>
      <c r="G53" s="43" t="n">
        <v>52</v>
      </c>
      <c r="H53" s="44" t="s">
        <v>195</v>
      </c>
      <c r="I53" s="44" t="s">
        <v>36</v>
      </c>
      <c r="J53" s="44" t="s">
        <v>37</v>
      </c>
      <c r="K53" s="46" t="n">
        <f aca="false">IF(E53=TRUE(),1,0)</f>
        <v>0</v>
      </c>
      <c r="L53" s="44"/>
    </row>
    <row r="54" customFormat="false" ht="15" hidden="false" customHeight="true" outlineLevel="0" collapsed="false">
      <c r="A54" s="38" t="n">
        <v>53</v>
      </c>
      <c r="B54" s="39" t="s">
        <v>196</v>
      </c>
      <c r="C54" s="39" t="s">
        <v>197</v>
      </c>
      <c r="D54" s="39" t="s">
        <v>37</v>
      </c>
      <c r="E54" s="40" t="b">
        <f aca="false">TRUE()</f>
        <v>1</v>
      </c>
      <c r="F54" s="38" t="s">
        <v>40</v>
      </c>
      <c r="G54" s="38" t="n">
        <v>53</v>
      </c>
      <c r="H54" s="39" t="s">
        <v>198</v>
      </c>
      <c r="I54" s="39" t="s">
        <v>46</v>
      </c>
      <c r="J54" s="39" t="s">
        <v>37</v>
      </c>
      <c r="K54" s="41" t="n">
        <f aca="false">IF(E54=TRUE(),1,0)</f>
        <v>1</v>
      </c>
      <c r="L54" s="42" t="n">
        <v>46218.3233912037</v>
      </c>
    </row>
    <row r="55" customFormat="false" ht="15" hidden="false" customHeight="true" outlineLevel="0" collapsed="false">
      <c r="A55" s="43" t="n">
        <v>54</v>
      </c>
      <c r="B55" s="44" t="s">
        <v>199</v>
      </c>
      <c r="C55" s="44" t="s">
        <v>200</v>
      </c>
      <c r="D55" s="44" t="s">
        <v>47</v>
      </c>
      <c r="E55" s="45" t="b">
        <f aca="false">FALSE()</f>
        <v>0</v>
      </c>
      <c r="F55" s="43" t="s">
        <v>34</v>
      </c>
      <c r="G55" s="43" t="n">
        <v>54</v>
      </c>
      <c r="H55" s="44" t="s">
        <v>201</v>
      </c>
      <c r="I55" s="44" t="s">
        <v>57</v>
      </c>
      <c r="J55" s="44" t="s">
        <v>47</v>
      </c>
      <c r="K55" s="46" t="n">
        <f aca="false">IF(E55=TRUE(),1,0)</f>
        <v>0</v>
      </c>
      <c r="L55" s="44"/>
    </row>
    <row r="56" customFormat="false" ht="15" hidden="false" customHeight="true" outlineLevel="0" collapsed="false">
      <c r="A56" s="38" t="n">
        <v>55</v>
      </c>
      <c r="B56" s="39" t="s">
        <v>202</v>
      </c>
      <c r="C56" s="39" t="s">
        <v>203</v>
      </c>
      <c r="D56" s="39" t="s">
        <v>37</v>
      </c>
      <c r="E56" s="40" t="b">
        <f aca="false">TRUE()</f>
        <v>1</v>
      </c>
      <c r="F56" s="38" t="s">
        <v>34</v>
      </c>
      <c r="G56" s="38" t="n">
        <v>55</v>
      </c>
      <c r="H56" s="39" t="s">
        <v>204</v>
      </c>
      <c r="I56" s="39" t="s">
        <v>36</v>
      </c>
      <c r="J56" s="39" t="s">
        <v>33</v>
      </c>
      <c r="K56" s="41" t="n">
        <f aca="false">IF(E56=TRUE(),1,0)</f>
        <v>1</v>
      </c>
      <c r="L56" s="42" t="n">
        <v>46218.3246180556</v>
      </c>
    </row>
    <row r="57" customFormat="false" ht="15" hidden="false" customHeight="true" outlineLevel="0" collapsed="false">
      <c r="A57" s="43" t="n">
        <v>56</v>
      </c>
      <c r="B57" s="44" t="s">
        <v>205</v>
      </c>
      <c r="C57" s="44" t="s">
        <v>206</v>
      </c>
      <c r="D57" s="44" t="s">
        <v>47</v>
      </c>
      <c r="E57" s="45" t="b">
        <f aca="false">FALSE()</f>
        <v>0</v>
      </c>
      <c r="F57" s="43" t="s">
        <v>34</v>
      </c>
      <c r="G57" s="43" t="n">
        <v>56</v>
      </c>
      <c r="H57" s="44" t="s">
        <v>207</v>
      </c>
      <c r="I57" s="44" t="s">
        <v>57</v>
      </c>
      <c r="J57" s="44" t="s">
        <v>37</v>
      </c>
      <c r="K57" s="46" t="n">
        <f aca="false">IF(E57=TRUE(),1,0)</f>
        <v>0</v>
      </c>
      <c r="L57" s="44"/>
    </row>
    <row r="58" customFormat="false" ht="15" hidden="false" customHeight="true" outlineLevel="0" collapsed="false">
      <c r="A58" s="38" t="n">
        <v>57</v>
      </c>
      <c r="B58" s="39" t="s">
        <v>208</v>
      </c>
      <c r="C58" s="39" t="s">
        <v>209</v>
      </c>
      <c r="D58" s="39" t="s">
        <v>33</v>
      </c>
      <c r="E58" s="40" t="b">
        <f aca="false">TRUE()</f>
        <v>1</v>
      </c>
      <c r="F58" s="38" t="s">
        <v>40</v>
      </c>
      <c r="G58" s="38" t="n">
        <v>57</v>
      </c>
      <c r="H58" s="39" t="s">
        <v>210</v>
      </c>
      <c r="I58" s="39" t="s">
        <v>57</v>
      </c>
      <c r="J58" s="39" t="s">
        <v>33</v>
      </c>
      <c r="K58" s="41" t="n">
        <f aca="false">IF(E58=TRUE(),1,0)</f>
        <v>1</v>
      </c>
      <c r="L58" s="42" t="n">
        <v>46218.3251041667</v>
      </c>
    </row>
    <row r="59" customFormat="false" ht="15" hidden="false" customHeight="true" outlineLevel="0" collapsed="false">
      <c r="A59" s="43" t="n">
        <v>58</v>
      </c>
      <c r="B59" s="44" t="s">
        <v>211</v>
      </c>
      <c r="C59" s="44" t="s">
        <v>212</v>
      </c>
      <c r="D59" s="44" t="s">
        <v>33</v>
      </c>
      <c r="E59" s="45" t="b">
        <f aca="false">TRUE()</f>
        <v>1</v>
      </c>
      <c r="F59" s="43" t="s">
        <v>34</v>
      </c>
      <c r="G59" s="43" t="n">
        <v>58</v>
      </c>
      <c r="H59" s="44" t="s">
        <v>213</v>
      </c>
      <c r="I59" s="44" t="s">
        <v>36</v>
      </c>
      <c r="J59" s="44" t="s">
        <v>37</v>
      </c>
      <c r="K59" s="46" t="n">
        <f aca="false">IF(E59=TRUE(),1,0)</f>
        <v>1</v>
      </c>
      <c r="L59" s="47" t="n">
        <v>46218.3253240741</v>
      </c>
    </row>
    <row r="60" customFormat="false" ht="15" hidden="false" customHeight="true" outlineLevel="0" collapsed="false">
      <c r="A60" s="38" t="n">
        <v>59</v>
      </c>
      <c r="B60" s="39" t="s">
        <v>214</v>
      </c>
      <c r="C60" s="39" t="s">
        <v>215</v>
      </c>
      <c r="D60" s="39" t="s">
        <v>47</v>
      </c>
      <c r="E60" s="40" t="b">
        <f aca="false">FALSE()</f>
        <v>0</v>
      </c>
      <c r="F60" s="38" t="s">
        <v>34</v>
      </c>
      <c r="G60" s="38" t="n">
        <v>59</v>
      </c>
      <c r="H60" s="39" t="s">
        <v>216</v>
      </c>
      <c r="I60" s="39" t="s">
        <v>46</v>
      </c>
      <c r="J60" s="39" t="s">
        <v>33</v>
      </c>
      <c r="K60" s="41" t="n">
        <f aca="false">IF(E60=TRUE(),1,0)</f>
        <v>0</v>
      </c>
      <c r="L60" s="39"/>
    </row>
    <row r="61" customFormat="false" ht="15" hidden="false" customHeight="true" outlineLevel="0" collapsed="false">
      <c r="A61" s="43" t="n">
        <v>60</v>
      </c>
      <c r="B61" s="44" t="s">
        <v>217</v>
      </c>
      <c r="C61" s="44" t="s">
        <v>218</v>
      </c>
      <c r="D61" s="44" t="s">
        <v>33</v>
      </c>
      <c r="E61" s="45" t="b">
        <f aca="false">TRUE()</f>
        <v>1</v>
      </c>
      <c r="F61" s="43" t="s">
        <v>44</v>
      </c>
      <c r="G61" s="43" t="n">
        <v>60</v>
      </c>
      <c r="H61" s="44" t="s">
        <v>219</v>
      </c>
      <c r="I61" s="44" t="s">
        <v>57</v>
      </c>
      <c r="J61" s="44" t="s">
        <v>37</v>
      </c>
      <c r="K61" s="46" t="n">
        <f aca="false">IF(E61=TRUE(),1,0)</f>
        <v>1</v>
      </c>
      <c r="L61" s="47" t="n">
        <v>46218.3264236111</v>
      </c>
    </row>
    <row r="62" customFormat="false" ht="15" hidden="false" customHeight="true" outlineLevel="0" collapsed="false">
      <c r="A62" s="38" t="n">
        <v>61</v>
      </c>
      <c r="B62" s="39" t="s">
        <v>220</v>
      </c>
      <c r="C62" s="39" t="s">
        <v>221</v>
      </c>
      <c r="D62" s="39" t="s">
        <v>33</v>
      </c>
      <c r="E62" s="40" t="b">
        <f aca="false">FALSE()</f>
        <v>0</v>
      </c>
      <c r="F62" s="38" t="s">
        <v>34</v>
      </c>
      <c r="G62" s="38" t="n">
        <v>61</v>
      </c>
      <c r="H62" s="39" t="s">
        <v>222</v>
      </c>
      <c r="I62" s="39" t="s">
        <v>36</v>
      </c>
      <c r="J62" s="39" t="s">
        <v>47</v>
      </c>
      <c r="K62" s="41" t="n">
        <f aca="false">IF(E62=TRUE(),1,0)</f>
        <v>0</v>
      </c>
      <c r="L62" s="39"/>
    </row>
    <row r="63" customFormat="false" ht="15" hidden="false" customHeight="true" outlineLevel="0" collapsed="false">
      <c r="A63" s="43" t="n">
        <v>62</v>
      </c>
      <c r="B63" s="44" t="s">
        <v>223</v>
      </c>
      <c r="C63" s="44" t="s">
        <v>224</v>
      </c>
      <c r="D63" s="44" t="s">
        <v>37</v>
      </c>
      <c r="E63" s="45" t="b">
        <f aca="false">FALSE()</f>
        <v>0</v>
      </c>
      <c r="F63" s="43" t="s">
        <v>40</v>
      </c>
      <c r="G63" s="43" t="n">
        <v>62</v>
      </c>
      <c r="H63" s="44" t="s">
        <v>225</v>
      </c>
      <c r="I63" s="44" t="s">
        <v>57</v>
      </c>
      <c r="J63" s="44" t="s">
        <v>47</v>
      </c>
      <c r="K63" s="46" t="n">
        <f aca="false">IF(E63=TRUE(),1,0)</f>
        <v>0</v>
      </c>
      <c r="L63" s="44"/>
    </row>
    <row r="64" customFormat="false" ht="15" hidden="false" customHeight="true" outlineLevel="0" collapsed="false">
      <c r="A64" s="38" t="n">
        <v>63</v>
      </c>
      <c r="B64" s="39" t="s">
        <v>226</v>
      </c>
      <c r="C64" s="39" t="s">
        <v>227</v>
      </c>
      <c r="D64" s="39" t="s">
        <v>33</v>
      </c>
      <c r="E64" s="40" t="b">
        <f aca="false">FALSE()</f>
        <v>0</v>
      </c>
      <c r="F64" s="38" t="s">
        <v>44</v>
      </c>
      <c r="G64" s="38" t="n">
        <v>63</v>
      </c>
      <c r="H64" s="39" t="s">
        <v>228</v>
      </c>
      <c r="I64" s="39" t="s">
        <v>57</v>
      </c>
      <c r="J64" s="39" t="s">
        <v>37</v>
      </c>
      <c r="K64" s="41" t="n">
        <f aca="false">IF(E64=TRUE(),1,0)</f>
        <v>0</v>
      </c>
      <c r="L64" s="39"/>
    </row>
    <row r="65" customFormat="false" ht="15" hidden="false" customHeight="true" outlineLevel="0" collapsed="false">
      <c r="A65" s="43" t="n">
        <v>64</v>
      </c>
      <c r="B65" s="44" t="s">
        <v>229</v>
      </c>
      <c r="C65" s="44" t="s">
        <v>230</v>
      </c>
      <c r="D65" s="44" t="s">
        <v>47</v>
      </c>
      <c r="E65" s="45" t="b">
        <f aca="false">TRUE()</f>
        <v>1</v>
      </c>
      <c r="F65" s="43" t="s">
        <v>44</v>
      </c>
      <c r="G65" s="43" t="n">
        <v>64</v>
      </c>
      <c r="H65" s="44" t="s">
        <v>231</v>
      </c>
      <c r="I65" s="44" t="s">
        <v>46</v>
      </c>
      <c r="J65" s="44" t="s">
        <v>33</v>
      </c>
      <c r="K65" s="46" t="n">
        <f aca="false">IF(E65=TRUE(),1,0)</f>
        <v>1</v>
      </c>
      <c r="L65" s="47" t="n">
        <v>46218.3273958333</v>
      </c>
    </row>
    <row r="66" customFormat="false" ht="15" hidden="false" customHeight="true" outlineLevel="0" collapsed="false">
      <c r="A66" s="38" t="n">
        <v>65</v>
      </c>
      <c r="B66" s="39" t="s">
        <v>232</v>
      </c>
      <c r="C66" s="39" t="s">
        <v>233</v>
      </c>
      <c r="D66" s="39" t="s">
        <v>33</v>
      </c>
      <c r="E66" s="40" t="b">
        <f aca="false">TRUE()</f>
        <v>1</v>
      </c>
      <c r="F66" s="38" t="s">
        <v>34</v>
      </c>
      <c r="G66" s="38" t="n">
        <v>65</v>
      </c>
      <c r="H66" s="39" t="s">
        <v>234</v>
      </c>
      <c r="I66" s="39" t="s">
        <v>36</v>
      </c>
      <c r="J66" s="39" t="s">
        <v>37</v>
      </c>
      <c r="K66" s="41" t="n">
        <f aca="false">IF(E66=TRUE(),1,0)</f>
        <v>1</v>
      </c>
      <c r="L66" s="42" t="n">
        <v>46218.3296990741</v>
      </c>
    </row>
    <row r="67" customFormat="false" ht="15" hidden="false" customHeight="true" outlineLevel="0" collapsed="false">
      <c r="A67" s="43" t="n">
        <v>66</v>
      </c>
      <c r="B67" s="44" t="s">
        <v>235</v>
      </c>
      <c r="C67" s="44" t="s">
        <v>236</v>
      </c>
      <c r="D67" s="44" t="s">
        <v>33</v>
      </c>
      <c r="E67" s="45" t="b">
        <f aca="false">FALSE()</f>
        <v>0</v>
      </c>
      <c r="F67" s="43" t="s">
        <v>40</v>
      </c>
      <c r="G67" s="43" t="n">
        <v>66</v>
      </c>
      <c r="H67" s="44" t="s">
        <v>237</v>
      </c>
      <c r="I67" s="44" t="s">
        <v>36</v>
      </c>
      <c r="J67" s="44" t="s">
        <v>33</v>
      </c>
      <c r="K67" s="46" t="n">
        <f aca="false">IF(E67=TRUE(),1,0)</f>
        <v>0</v>
      </c>
      <c r="L67" s="44"/>
    </row>
    <row r="68" customFormat="false" ht="15" hidden="false" customHeight="true" outlineLevel="0" collapsed="false">
      <c r="A68" s="38" t="n">
        <v>67</v>
      </c>
      <c r="B68" s="39" t="s">
        <v>238</v>
      </c>
      <c r="C68" s="39" t="s">
        <v>239</v>
      </c>
      <c r="D68" s="39" t="s">
        <v>47</v>
      </c>
      <c r="E68" s="40" t="b">
        <f aca="false">TRUE()</f>
        <v>1</v>
      </c>
      <c r="F68" s="38" t="s">
        <v>34</v>
      </c>
      <c r="G68" s="38" t="n">
        <v>67</v>
      </c>
      <c r="H68" s="39" t="s">
        <v>240</v>
      </c>
      <c r="I68" s="39" t="s">
        <v>46</v>
      </c>
      <c r="J68" s="39" t="s">
        <v>33</v>
      </c>
      <c r="K68" s="41" t="n">
        <f aca="false">IF(E68=TRUE(),1,0)</f>
        <v>1</v>
      </c>
      <c r="L68" s="42" t="n">
        <v>46218.3300347222</v>
      </c>
    </row>
    <row r="69" customFormat="false" ht="15" hidden="false" customHeight="true" outlineLevel="0" collapsed="false">
      <c r="A69" s="43" t="n">
        <v>68</v>
      </c>
      <c r="B69" s="44" t="s">
        <v>241</v>
      </c>
      <c r="C69" s="44" t="s">
        <v>242</v>
      </c>
      <c r="D69" s="44" t="s">
        <v>47</v>
      </c>
      <c r="E69" s="45" t="b">
        <f aca="false">TRUE()</f>
        <v>1</v>
      </c>
      <c r="F69" s="43" t="s">
        <v>40</v>
      </c>
      <c r="G69" s="43" t="n">
        <v>68</v>
      </c>
      <c r="H69" s="44" t="s">
        <v>243</v>
      </c>
      <c r="I69" s="44" t="s">
        <v>57</v>
      </c>
      <c r="J69" s="44" t="s">
        <v>33</v>
      </c>
      <c r="K69" s="46" t="n">
        <f aca="false">IF(E69=TRUE(),1,0)</f>
        <v>1</v>
      </c>
      <c r="L69" s="47" t="n">
        <v>46218.3301967593</v>
      </c>
    </row>
    <row r="70" customFormat="false" ht="15" hidden="false" customHeight="true" outlineLevel="0" collapsed="false">
      <c r="A70" s="38" t="n">
        <v>69</v>
      </c>
      <c r="B70" s="39" t="s">
        <v>244</v>
      </c>
      <c r="C70" s="39" t="s">
        <v>245</v>
      </c>
      <c r="D70" s="39" t="s">
        <v>47</v>
      </c>
      <c r="E70" s="40" t="b">
        <f aca="false">TRUE()</f>
        <v>1</v>
      </c>
      <c r="F70" s="38" t="s">
        <v>40</v>
      </c>
      <c r="G70" s="38" t="n">
        <v>69</v>
      </c>
      <c r="H70" s="39" t="s">
        <v>246</v>
      </c>
      <c r="I70" s="39" t="s">
        <v>57</v>
      </c>
      <c r="J70" s="39" t="s">
        <v>37</v>
      </c>
      <c r="K70" s="41" t="n">
        <f aca="false">IF(E70=TRUE(),1,0)</f>
        <v>1</v>
      </c>
      <c r="L70" s="42" t="n">
        <v>46218.3327546296</v>
      </c>
    </row>
    <row r="71" customFormat="false" ht="15" hidden="false" customHeight="true" outlineLevel="0" collapsed="false">
      <c r="A71" s="43" t="n">
        <v>70</v>
      </c>
      <c r="B71" s="44" t="s">
        <v>247</v>
      </c>
      <c r="C71" s="44" t="s">
        <v>248</v>
      </c>
      <c r="D71" s="44" t="s">
        <v>33</v>
      </c>
      <c r="E71" s="45" t="b">
        <f aca="false">TRUE()</f>
        <v>1</v>
      </c>
      <c r="F71" s="43" t="s">
        <v>44</v>
      </c>
      <c r="G71" s="43" t="n">
        <v>70</v>
      </c>
      <c r="H71" s="44" t="s">
        <v>249</v>
      </c>
      <c r="I71" s="44" t="s">
        <v>36</v>
      </c>
      <c r="J71" s="44" t="s">
        <v>37</v>
      </c>
      <c r="K71" s="46" t="n">
        <f aca="false">IF(E71=TRUE(),1,0)</f>
        <v>1</v>
      </c>
      <c r="L71" s="47" t="n">
        <v>46218.3340856481</v>
      </c>
    </row>
    <row r="72" customFormat="false" ht="15" hidden="false" customHeight="true" outlineLevel="0" collapsed="false">
      <c r="A72" s="38" t="n">
        <v>71</v>
      </c>
      <c r="B72" s="39" t="s">
        <v>250</v>
      </c>
      <c r="C72" s="39" t="s">
        <v>251</v>
      </c>
      <c r="D72" s="39" t="s">
        <v>33</v>
      </c>
      <c r="E72" s="40" t="b">
        <f aca="false">FALSE()</f>
        <v>0</v>
      </c>
      <c r="F72" s="38" t="s">
        <v>44</v>
      </c>
      <c r="G72" s="38" t="n">
        <v>71</v>
      </c>
      <c r="H72" s="39" t="s">
        <v>252</v>
      </c>
      <c r="I72" s="39" t="s">
        <v>46</v>
      </c>
      <c r="J72" s="39" t="s">
        <v>47</v>
      </c>
      <c r="K72" s="41" t="n">
        <f aca="false">IF(E72=TRUE(),1,0)</f>
        <v>0</v>
      </c>
      <c r="L72" s="39"/>
    </row>
    <row r="73" customFormat="false" ht="15" hidden="false" customHeight="true" outlineLevel="0" collapsed="false">
      <c r="A73" s="43" t="n">
        <v>72</v>
      </c>
      <c r="B73" s="44" t="s">
        <v>253</v>
      </c>
      <c r="C73" s="44" t="s">
        <v>254</v>
      </c>
      <c r="D73" s="44" t="s">
        <v>47</v>
      </c>
      <c r="E73" s="45" t="b">
        <f aca="false">TRUE()</f>
        <v>1</v>
      </c>
      <c r="F73" s="43" t="s">
        <v>34</v>
      </c>
      <c r="G73" s="43" t="n">
        <v>72</v>
      </c>
      <c r="H73" s="44" t="s">
        <v>255</v>
      </c>
      <c r="I73" s="44" t="s">
        <v>46</v>
      </c>
      <c r="J73" s="44" t="s">
        <v>37</v>
      </c>
      <c r="K73" s="46" t="n">
        <f aca="false">IF(E73=TRUE(),1,0)</f>
        <v>1</v>
      </c>
      <c r="L73" s="47" t="n">
        <v>46218.3348032407</v>
      </c>
    </row>
    <row r="74" customFormat="false" ht="15" hidden="false" customHeight="true" outlineLevel="0" collapsed="false">
      <c r="A74" s="38" t="n">
        <v>73</v>
      </c>
      <c r="B74" s="39" t="s">
        <v>256</v>
      </c>
      <c r="C74" s="39" t="s">
        <v>257</v>
      </c>
      <c r="D74" s="39" t="s">
        <v>37</v>
      </c>
      <c r="E74" s="40" t="b">
        <f aca="false">FALSE()</f>
        <v>0</v>
      </c>
      <c r="F74" s="38" t="s">
        <v>34</v>
      </c>
      <c r="G74" s="38" t="n">
        <v>73</v>
      </c>
      <c r="H74" s="39" t="s">
        <v>258</v>
      </c>
      <c r="I74" s="39" t="s">
        <v>36</v>
      </c>
      <c r="J74" s="39" t="s">
        <v>37</v>
      </c>
      <c r="K74" s="41" t="n">
        <f aca="false">IF(E74=TRUE(),1,0)</f>
        <v>0</v>
      </c>
      <c r="L74" s="39"/>
    </row>
    <row r="75" customFormat="false" ht="15" hidden="false" customHeight="true" outlineLevel="0" collapsed="false">
      <c r="A75" s="43" t="n">
        <v>74</v>
      </c>
      <c r="B75" s="44" t="s">
        <v>259</v>
      </c>
      <c r="C75" s="44" t="s">
        <v>260</v>
      </c>
      <c r="D75" s="44" t="s">
        <v>37</v>
      </c>
      <c r="E75" s="45" t="b">
        <f aca="false">FALSE()</f>
        <v>0</v>
      </c>
      <c r="F75" s="43" t="s">
        <v>34</v>
      </c>
      <c r="G75" s="43" t="n">
        <v>74</v>
      </c>
      <c r="H75" s="44" t="s">
        <v>261</v>
      </c>
      <c r="I75" s="44" t="s">
        <v>57</v>
      </c>
      <c r="J75" s="44" t="s">
        <v>37</v>
      </c>
      <c r="K75" s="46" t="n">
        <f aca="false">IF(E75=TRUE(),1,0)</f>
        <v>0</v>
      </c>
      <c r="L75" s="44"/>
    </row>
    <row r="76" customFormat="false" ht="15" hidden="false" customHeight="true" outlineLevel="0" collapsed="false">
      <c r="A76" s="38" t="n">
        <v>75</v>
      </c>
      <c r="B76" s="39" t="s">
        <v>262</v>
      </c>
      <c r="C76" s="39" t="s">
        <v>263</v>
      </c>
      <c r="D76" s="39" t="s">
        <v>37</v>
      </c>
      <c r="E76" s="40" t="b">
        <f aca="false">TRUE()</f>
        <v>1</v>
      </c>
      <c r="F76" s="38" t="s">
        <v>34</v>
      </c>
      <c r="G76" s="38" t="n">
        <v>75</v>
      </c>
      <c r="H76" s="39" t="s">
        <v>264</v>
      </c>
      <c r="I76" s="39" t="s">
        <v>57</v>
      </c>
      <c r="J76" s="39" t="s">
        <v>33</v>
      </c>
      <c r="K76" s="41" t="n">
        <f aca="false">IF(E76=TRUE(),1,0)</f>
        <v>1</v>
      </c>
      <c r="L76" s="42" t="n">
        <v>46218.3350231482</v>
      </c>
    </row>
    <row r="77" customFormat="false" ht="15" hidden="false" customHeight="true" outlineLevel="0" collapsed="false">
      <c r="A77" s="43" t="n">
        <v>76</v>
      </c>
      <c r="B77" s="44" t="s">
        <v>265</v>
      </c>
      <c r="C77" s="44" t="s">
        <v>266</v>
      </c>
      <c r="D77" s="44" t="s">
        <v>47</v>
      </c>
      <c r="E77" s="45" t="b">
        <f aca="false">FALSE()</f>
        <v>0</v>
      </c>
      <c r="F77" s="43" t="s">
        <v>34</v>
      </c>
      <c r="G77" s="43" t="n">
        <v>76</v>
      </c>
      <c r="H77" s="44" t="s">
        <v>267</v>
      </c>
      <c r="I77" s="44" t="s">
        <v>36</v>
      </c>
      <c r="J77" s="44" t="s">
        <v>37</v>
      </c>
      <c r="K77" s="46" t="n">
        <f aca="false">IF(E77=TRUE(),1,0)</f>
        <v>0</v>
      </c>
      <c r="L77" s="44"/>
    </row>
    <row r="78" customFormat="false" ht="15" hidden="false" customHeight="true" outlineLevel="0" collapsed="false">
      <c r="A78" s="38" t="n">
        <v>77</v>
      </c>
      <c r="B78" s="39" t="s">
        <v>268</v>
      </c>
      <c r="C78" s="39" t="s">
        <v>269</v>
      </c>
      <c r="D78" s="39" t="s">
        <v>33</v>
      </c>
      <c r="E78" s="40" t="b">
        <f aca="false">TRUE()</f>
        <v>1</v>
      </c>
      <c r="F78" s="38" t="s">
        <v>44</v>
      </c>
      <c r="G78" s="38" t="n">
        <v>77</v>
      </c>
      <c r="H78" s="39" t="s">
        <v>270</v>
      </c>
      <c r="I78" s="39" t="s">
        <v>57</v>
      </c>
      <c r="J78" s="39" t="s">
        <v>37</v>
      </c>
      <c r="K78" s="41" t="n">
        <f aca="false">IF(E78=TRUE(),1,0)</f>
        <v>1</v>
      </c>
      <c r="L78" s="42" t="n">
        <v>46218.3356018519</v>
      </c>
    </row>
    <row r="79" customFormat="false" ht="15" hidden="false" customHeight="true" outlineLevel="0" collapsed="false">
      <c r="A79" s="43" t="n">
        <v>78</v>
      </c>
      <c r="B79" s="44" t="s">
        <v>271</v>
      </c>
      <c r="C79" s="44" t="s">
        <v>272</v>
      </c>
      <c r="D79" s="44" t="s">
        <v>37</v>
      </c>
      <c r="E79" s="45" t="b">
        <f aca="false">FALSE()</f>
        <v>0</v>
      </c>
      <c r="F79" s="43" t="s">
        <v>34</v>
      </c>
      <c r="G79" s="43" t="n">
        <v>78</v>
      </c>
      <c r="H79" s="44" t="s">
        <v>273</v>
      </c>
      <c r="I79" s="44" t="s">
        <v>57</v>
      </c>
      <c r="J79" s="44" t="s">
        <v>33</v>
      </c>
      <c r="K79" s="46" t="n">
        <f aca="false">IF(E79=TRUE(),1,0)</f>
        <v>0</v>
      </c>
      <c r="L79" s="44"/>
    </row>
    <row r="80" customFormat="false" ht="15" hidden="false" customHeight="true" outlineLevel="0" collapsed="false">
      <c r="A80" s="38" t="n">
        <v>79</v>
      </c>
      <c r="B80" s="39" t="s">
        <v>274</v>
      </c>
      <c r="C80" s="39" t="s">
        <v>275</v>
      </c>
      <c r="D80" s="39" t="s">
        <v>37</v>
      </c>
      <c r="E80" s="40" t="b">
        <f aca="false">FALSE()</f>
        <v>0</v>
      </c>
      <c r="F80" s="38" t="s">
        <v>44</v>
      </c>
      <c r="G80" s="38" t="n">
        <v>79</v>
      </c>
      <c r="H80" s="39" t="s">
        <v>276</v>
      </c>
      <c r="I80" s="39" t="s">
        <v>36</v>
      </c>
      <c r="J80" s="39" t="s">
        <v>47</v>
      </c>
      <c r="K80" s="41" t="n">
        <f aca="false">IF(E80=TRUE(),1,0)</f>
        <v>0</v>
      </c>
      <c r="L80" s="39"/>
    </row>
    <row r="81" customFormat="false" ht="15" hidden="false" customHeight="true" outlineLevel="0" collapsed="false">
      <c r="A81" s="43" t="n">
        <v>80</v>
      </c>
      <c r="B81" s="44" t="s">
        <v>277</v>
      </c>
      <c r="C81" s="44" t="s">
        <v>278</v>
      </c>
      <c r="D81" s="44" t="s">
        <v>37</v>
      </c>
      <c r="E81" s="45" t="b">
        <f aca="false">FALSE()</f>
        <v>0</v>
      </c>
      <c r="F81" s="43" t="s">
        <v>34</v>
      </c>
      <c r="G81" s="43" t="n">
        <v>80</v>
      </c>
      <c r="H81" s="44" t="s">
        <v>279</v>
      </c>
      <c r="I81" s="44" t="s">
        <v>57</v>
      </c>
      <c r="J81" s="44" t="s">
        <v>47</v>
      </c>
      <c r="K81" s="46" t="n">
        <f aca="false">IF(E81=TRUE(),1,0)</f>
        <v>0</v>
      </c>
      <c r="L81" s="44"/>
    </row>
    <row r="82" customFormat="false" ht="15" hidden="false" customHeight="true" outlineLevel="0" collapsed="false">
      <c r="A82" s="38" t="n">
        <v>81</v>
      </c>
      <c r="B82" s="39" t="s">
        <v>280</v>
      </c>
      <c r="C82" s="39" t="s">
        <v>281</v>
      </c>
      <c r="D82" s="39" t="s">
        <v>33</v>
      </c>
      <c r="E82" s="40" t="b">
        <f aca="false">TRUE()</f>
        <v>1</v>
      </c>
      <c r="F82" s="38" t="s">
        <v>34</v>
      </c>
      <c r="G82" s="38" t="n">
        <v>81</v>
      </c>
      <c r="H82" s="39" t="s">
        <v>282</v>
      </c>
      <c r="I82" s="39" t="s">
        <v>57</v>
      </c>
      <c r="J82" s="39" t="s">
        <v>47</v>
      </c>
      <c r="K82" s="41" t="n">
        <f aca="false">IF(E82=TRUE(),1,0)</f>
        <v>1</v>
      </c>
      <c r="L82" s="42" t="n">
        <v>46218.3360185185</v>
      </c>
    </row>
    <row r="83" customFormat="false" ht="15" hidden="false" customHeight="true" outlineLevel="0" collapsed="false">
      <c r="A83" s="43" t="n">
        <v>82</v>
      </c>
      <c r="B83" s="44" t="s">
        <v>283</v>
      </c>
      <c r="C83" s="44" t="s">
        <v>284</v>
      </c>
      <c r="D83" s="44" t="s">
        <v>33</v>
      </c>
      <c r="E83" s="45" t="b">
        <f aca="false">TRUE()</f>
        <v>1</v>
      </c>
      <c r="F83" s="43" t="s">
        <v>40</v>
      </c>
      <c r="G83" s="43" t="n">
        <v>82</v>
      </c>
      <c r="H83" s="44" t="s">
        <v>285</v>
      </c>
      <c r="I83" s="44" t="s">
        <v>57</v>
      </c>
      <c r="J83" s="44" t="s">
        <v>47</v>
      </c>
      <c r="K83" s="46" t="n">
        <f aca="false">IF(E83=TRUE(),1,0)</f>
        <v>1</v>
      </c>
      <c r="L83" s="47" t="n">
        <v>46218.3361342593</v>
      </c>
    </row>
    <row r="84" customFormat="false" ht="15" hidden="false" customHeight="true" outlineLevel="0" collapsed="false">
      <c r="A84" s="38" t="n">
        <v>83</v>
      </c>
      <c r="B84" s="39" t="s">
        <v>286</v>
      </c>
      <c r="C84" s="39" t="s">
        <v>287</v>
      </c>
      <c r="D84" s="39" t="s">
        <v>47</v>
      </c>
      <c r="E84" s="40" t="b">
        <f aca="false">TRUE()</f>
        <v>1</v>
      </c>
      <c r="F84" s="38" t="s">
        <v>40</v>
      </c>
      <c r="G84" s="38" t="n">
        <v>83</v>
      </c>
      <c r="H84" s="39" t="s">
        <v>288</v>
      </c>
      <c r="I84" s="39" t="s">
        <v>57</v>
      </c>
      <c r="J84" s="39" t="s">
        <v>33</v>
      </c>
      <c r="K84" s="41" t="n">
        <f aca="false">IF(E84=TRUE(),1,0)</f>
        <v>1</v>
      </c>
      <c r="L84" s="42" t="n">
        <v>46218.3363194445</v>
      </c>
    </row>
    <row r="85" customFormat="false" ht="15" hidden="false" customHeight="true" outlineLevel="0" collapsed="false">
      <c r="A85" s="43" t="n">
        <v>84</v>
      </c>
      <c r="B85" s="44" t="s">
        <v>289</v>
      </c>
      <c r="C85" s="44" t="s">
        <v>290</v>
      </c>
      <c r="D85" s="44" t="s">
        <v>37</v>
      </c>
      <c r="E85" s="45" t="b">
        <f aca="false">TRUE()</f>
        <v>1</v>
      </c>
      <c r="F85" s="43" t="s">
        <v>40</v>
      </c>
      <c r="G85" s="43" t="n">
        <v>84</v>
      </c>
      <c r="H85" s="44" t="s">
        <v>291</v>
      </c>
      <c r="I85" s="44" t="s">
        <v>36</v>
      </c>
      <c r="J85" s="44" t="s">
        <v>37</v>
      </c>
      <c r="K85" s="46" t="n">
        <f aca="false">IF(E85=TRUE(),1,0)</f>
        <v>1</v>
      </c>
      <c r="L85" s="47" t="n">
        <v>46218.3376388889</v>
      </c>
    </row>
    <row r="86" customFormat="false" ht="15" hidden="false" customHeight="true" outlineLevel="0" collapsed="false">
      <c r="A86" s="38" t="n">
        <v>85</v>
      </c>
      <c r="B86" s="39" t="s">
        <v>292</v>
      </c>
      <c r="C86" s="39" t="s">
        <v>293</v>
      </c>
      <c r="D86" s="39" t="s">
        <v>37</v>
      </c>
      <c r="E86" s="40" t="b">
        <f aca="false">FALSE()</f>
        <v>0</v>
      </c>
      <c r="F86" s="38" t="s">
        <v>44</v>
      </c>
      <c r="G86" s="38" t="n">
        <v>85</v>
      </c>
      <c r="H86" s="39" t="s">
        <v>294</v>
      </c>
      <c r="I86" s="39" t="s">
        <v>36</v>
      </c>
      <c r="J86" s="39" t="s">
        <v>37</v>
      </c>
      <c r="K86" s="41" t="n">
        <f aca="false">IF(E86=TRUE(),1,0)</f>
        <v>0</v>
      </c>
      <c r="L86" s="39"/>
    </row>
    <row r="87" customFormat="false" ht="15" hidden="false" customHeight="true" outlineLevel="0" collapsed="false">
      <c r="A87" s="43" t="n">
        <v>86</v>
      </c>
      <c r="B87" s="44" t="s">
        <v>295</v>
      </c>
      <c r="C87" s="44" t="s">
        <v>296</v>
      </c>
      <c r="D87" s="44" t="s">
        <v>47</v>
      </c>
      <c r="E87" s="45" t="b">
        <f aca="false">FALSE()</f>
        <v>0</v>
      </c>
      <c r="F87" s="43" t="s">
        <v>44</v>
      </c>
      <c r="G87" s="43" t="n">
        <v>86</v>
      </c>
      <c r="H87" s="44" t="s">
        <v>297</v>
      </c>
      <c r="I87" s="44" t="s">
        <v>46</v>
      </c>
      <c r="J87" s="44" t="s">
        <v>33</v>
      </c>
      <c r="K87" s="46" t="n">
        <f aca="false">IF(E87=TRUE(),1,0)</f>
        <v>0</v>
      </c>
      <c r="L87" s="44"/>
    </row>
    <row r="88" customFormat="false" ht="15" hidden="false" customHeight="true" outlineLevel="0" collapsed="false">
      <c r="A88" s="38" t="n">
        <v>87</v>
      </c>
      <c r="B88" s="39" t="s">
        <v>298</v>
      </c>
      <c r="C88" s="39" t="s">
        <v>299</v>
      </c>
      <c r="D88" s="39" t="s">
        <v>37</v>
      </c>
      <c r="E88" s="40" t="b">
        <f aca="false">TRUE()</f>
        <v>1</v>
      </c>
      <c r="F88" s="38" t="s">
        <v>40</v>
      </c>
      <c r="G88" s="38" t="n">
        <v>87</v>
      </c>
      <c r="H88" s="39" t="s">
        <v>300</v>
      </c>
      <c r="I88" s="39" t="s">
        <v>46</v>
      </c>
      <c r="J88" s="39" t="s">
        <v>33</v>
      </c>
      <c r="K88" s="41" t="n">
        <f aca="false">IF(E88=TRUE(),1,0)</f>
        <v>1</v>
      </c>
      <c r="L88" s="42" t="n">
        <v>46218.3378935185</v>
      </c>
    </row>
    <row r="89" customFormat="false" ht="15" hidden="false" customHeight="true" outlineLevel="0" collapsed="false">
      <c r="A89" s="43" t="n">
        <v>88</v>
      </c>
      <c r="B89" s="44" t="s">
        <v>301</v>
      </c>
      <c r="C89" s="44" t="s">
        <v>302</v>
      </c>
      <c r="D89" s="44" t="s">
        <v>37</v>
      </c>
      <c r="E89" s="45" t="b">
        <f aca="false">TRUE()</f>
        <v>1</v>
      </c>
      <c r="F89" s="43" t="s">
        <v>40</v>
      </c>
      <c r="G89" s="43" t="n">
        <v>88</v>
      </c>
      <c r="H89" s="44" t="s">
        <v>303</v>
      </c>
      <c r="I89" s="44" t="s">
        <v>57</v>
      </c>
      <c r="J89" s="44" t="s">
        <v>47</v>
      </c>
      <c r="K89" s="46" t="n">
        <f aca="false">IF(E89=TRUE(),1,0)</f>
        <v>1</v>
      </c>
      <c r="L89" s="47" t="n">
        <v>46218.339849537</v>
      </c>
    </row>
    <row r="90" customFormat="false" ht="15" hidden="false" customHeight="true" outlineLevel="0" collapsed="false">
      <c r="A90" s="38" t="n">
        <v>89</v>
      </c>
      <c r="B90" s="39" t="s">
        <v>304</v>
      </c>
      <c r="C90" s="39" t="s">
        <v>305</v>
      </c>
      <c r="D90" s="39" t="s">
        <v>33</v>
      </c>
      <c r="E90" s="40" t="b">
        <f aca="false">TRUE()</f>
        <v>1</v>
      </c>
      <c r="F90" s="38" t="s">
        <v>40</v>
      </c>
      <c r="G90" s="38" t="n">
        <v>89</v>
      </c>
      <c r="H90" s="39" t="s">
        <v>306</v>
      </c>
      <c r="I90" s="39" t="s">
        <v>46</v>
      </c>
      <c r="J90" s="39" t="s">
        <v>33</v>
      </c>
      <c r="K90" s="41" t="n">
        <f aca="false">IF(E90=TRUE(),1,0)</f>
        <v>1</v>
      </c>
      <c r="L90" s="42" t="n">
        <v>46218.3402314815</v>
      </c>
    </row>
    <row r="91" customFormat="false" ht="15" hidden="false" customHeight="true" outlineLevel="0" collapsed="false">
      <c r="A91" s="43" t="n">
        <v>90</v>
      </c>
      <c r="B91" s="44" t="s">
        <v>307</v>
      </c>
      <c r="C91" s="44" t="s">
        <v>308</v>
      </c>
      <c r="D91" s="44" t="s">
        <v>47</v>
      </c>
      <c r="E91" s="45" t="b">
        <f aca="false">TRUE()</f>
        <v>1</v>
      </c>
      <c r="F91" s="43" t="s">
        <v>34</v>
      </c>
      <c r="G91" s="43" t="n">
        <v>90</v>
      </c>
      <c r="H91" s="44" t="s">
        <v>309</v>
      </c>
      <c r="I91" s="44" t="s">
        <v>46</v>
      </c>
      <c r="J91" s="44" t="s">
        <v>37</v>
      </c>
      <c r="K91" s="46" t="n">
        <f aca="false">IF(E91=TRUE(),1,0)</f>
        <v>1</v>
      </c>
      <c r="L91" s="47" t="n">
        <v>46218.3418634259</v>
      </c>
    </row>
    <row r="92" customFormat="false" ht="15" hidden="false" customHeight="true" outlineLevel="0" collapsed="false">
      <c r="A92" s="38" t="n">
        <v>91</v>
      </c>
      <c r="B92" s="39" t="s">
        <v>310</v>
      </c>
      <c r="C92" s="39" t="s">
        <v>311</v>
      </c>
      <c r="D92" s="39" t="s">
        <v>37</v>
      </c>
      <c r="E92" s="40" t="b">
        <f aca="false">TRUE()</f>
        <v>1</v>
      </c>
      <c r="F92" s="38" t="s">
        <v>44</v>
      </c>
      <c r="G92" s="38" t="n">
        <v>91</v>
      </c>
      <c r="H92" s="39" t="s">
        <v>312</v>
      </c>
      <c r="I92" s="39" t="s">
        <v>36</v>
      </c>
      <c r="J92" s="39" t="s">
        <v>47</v>
      </c>
      <c r="K92" s="41" t="n">
        <f aca="false">IF(E92=TRUE(),1,0)</f>
        <v>1</v>
      </c>
      <c r="L92" s="42" t="n">
        <v>46218.3427893519</v>
      </c>
    </row>
    <row r="93" customFormat="false" ht="15" hidden="false" customHeight="true" outlineLevel="0" collapsed="false">
      <c r="A93" s="43" t="n">
        <v>92</v>
      </c>
      <c r="B93" s="44" t="s">
        <v>313</v>
      </c>
      <c r="C93" s="44" t="s">
        <v>314</v>
      </c>
      <c r="D93" s="44" t="s">
        <v>47</v>
      </c>
      <c r="E93" s="45" t="b">
        <f aca="false">FALSE()</f>
        <v>0</v>
      </c>
      <c r="F93" s="43" t="s">
        <v>44</v>
      </c>
      <c r="G93" s="43" t="n">
        <v>92</v>
      </c>
      <c r="H93" s="44" t="s">
        <v>315</v>
      </c>
      <c r="I93" s="44" t="s">
        <v>36</v>
      </c>
      <c r="J93" s="44" t="s">
        <v>33</v>
      </c>
      <c r="K93" s="46" t="n">
        <f aca="false">IF(E93=TRUE(),1,0)</f>
        <v>0</v>
      </c>
      <c r="L93" s="44"/>
    </row>
    <row r="94" customFormat="false" ht="15" hidden="false" customHeight="true" outlineLevel="0" collapsed="false">
      <c r="A94" s="38" t="n">
        <v>93</v>
      </c>
      <c r="B94" s="39" t="s">
        <v>316</v>
      </c>
      <c r="C94" s="39" t="s">
        <v>317</v>
      </c>
      <c r="D94" s="39" t="s">
        <v>47</v>
      </c>
      <c r="E94" s="40" t="b">
        <f aca="false">FALSE()</f>
        <v>0</v>
      </c>
      <c r="F94" s="38" t="s">
        <v>34</v>
      </c>
      <c r="G94" s="38" t="n">
        <v>93</v>
      </c>
      <c r="H94" s="39" t="s">
        <v>318</v>
      </c>
      <c r="I94" s="39" t="s">
        <v>36</v>
      </c>
      <c r="J94" s="39" t="s">
        <v>47</v>
      </c>
      <c r="K94" s="41" t="n">
        <f aca="false">IF(E94=TRUE(),1,0)</f>
        <v>0</v>
      </c>
      <c r="L94" s="39"/>
    </row>
    <row r="95" customFormat="false" ht="15" hidden="false" customHeight="true" outlineLevel="0" collapsed="false">
      <c r="A95" s="43" t="n">
        <v>94</v>
      </c>
      <c r="B95" s="44" t="s">
        <v>319</v>
      </c>
      <c r="C95" s="44" t="s">
        <v>320</v>
      </c>
      <c r="D95" s="44" t="s">
        <v>37</v>
      </c>
      <c r="E95" s="45" t="b">
        <f aca="false">FALSE()</f>
        <v>0</v>
      </c>
      <c r="F95" s="43" t="s">
        <v>44</v>
      </c>
      <c r="G95" s="43" t="n">
        <v>94</v>
      </c>
      <c r="H95" s="44" t="s">
        <v>321</v>
      </c>
      <c r="I95" s="44" t="s">
        <v>36</v>
      </c>
      <c r="J95" s="44" t="s">
        <v>47</v>
      </c>
      <c r="K95" s="46" t="n">
        <f aca="false">IF(E95=TRUE(),1,0)</f>
        <v>0</v>
      </c>
      <c r="L95" s="44"/>
    </row>
    <row r="96" customFormat="false" ht="15" hidden="false" customHeight="true" outlineLevel="0" collapsed="false">
      <c r="A96" s="38" t="n">
        <v>95</v>
      </c>
      <c r="B96" s="39" t="s">
        <v>322</v>
      </c>
      <c r="C96" s="39" t="s">
        <v>323</v>
      </c>
      <c r="D96" s="39" t="s">
        <v>47</v>
      </c>
      <c r="E96" s="40" t="b">
        <f aca="false">FALSE()</f>
        <v>0</v>
      </c>
      <c r="F96" s="38" t="s">
        <v>44</v>
      </c>
      <c r="G96" s="38" t="n">
        <v>95</v>
      </c>
      <c r="H96" s="39" t="s">
        <v>324</v>
      </c>
      <c r="I96" s="39" t="s">
        <v>36</v>
      </c>
      <c r="J96" s="39" t="s">
        <v>37</v>
      </c>
      <c r="K96" s="41" t="n">
        <f aca="false">IF(E96=TRUE(),1,0)</f>
        <v>0</v>
      </c>
      <c r="L96" s="39"/>
    </row>
    <row r="97" customFormat="false" ht="15" hidden="false" customHeight="true" outlineLevel="0" collapsed="false">
      <c r="A97" s="43" t="n">
        <v>96</v>
      </c>
      <c r="B97" s="44" t="s">
        <v>325</v>
      </c>
      <c r="C97" s="44" t="s">
        <v>326</v>
      </c>
      <c r="D97" s="44" t="s">
        <v>33</v>
      </c>
      <c r="E97" s="45" t="b">
        <f aca="false">TRUE()</f>
        <v>1</v>
      </c>
      <c r="F97" s="43" t="s">
        <v>34</v>
      </c>
      <c r="G97" s="43" t="n">
        <v>96</v>
      </c>
      <c r="H97" s="44" t="s">
        <v>327</v>
      </c>
      <c r="I97" s="44" t="s">
        <v>57</v>
      </c>
      <c r="J97" s="44" t="s">
        <v>37</v>
      </c>
      <c r="K97" s="46" t="n">
        <f aca="false">IF(E97=TRUE(),1,0)</f>
        <v>1</v>
      </c>
      <c r="L97" s="47" t="n">
        <v>46218.3432060185</v>
      </c>
    </row>
    <row r="98" customFormat="false" ht="15" hidden="false" customHeight="true" outlineLevel="0" collapsed="false">
      <c r="A98" s="38" t="n">
        <v>97</v>
      </c>
      <c r="B98" s="39" t="s">
        <v>328</v>
      </c>
      <c r="C98" s="39" t="s">
        <v>329</v>
      </c>
      <c r="D98" s="39" t="s">
        <v>47</v>
      </c>
      <c r="E98" s="40" t="b">
        <f aca="false">FALSE()</f>
        <v>0</v>
      </c>
      <c r="F98" s="38" t="s">
        <v>44</v>
      </c>
      <c r="G98" s="38" t="n">
        <v>97</v>
      </c>
      <c r="H98" s="39" t="s">
        <v>330</v>
      </c>
      <c r="I98" s="39" t="s">
        <v>36</v>
      </c>
      <c r="J98" s="39" t="s">
        <v>47</v>
      </c>
      <c r="K98" s="41" t="n">
        <f aca="false">IF(E98=TRUE(),1,0)</f>
        <v>0</v>
      </c>
      <c r="L98" s="39"/>
    </row>
    <row r="99" customFormat="false" ht="15" hidden="false" customHeight="true" outlineLevel="0" collapsed="false">
      <c r="A99" s="43" t="n">
        <v>98</v>
      </c>
      <c r="B99" s="44" t="s">
        <v>331</v>
      </c>
      <c r="C99" s="44" t="s">
        <v>332</v>
      </c>
      <c r="D99" s="44" t="s">
        <v>37</v>
      </c>
      <c r="E99" s="45" t="b">
        <f aca="false">TRUE()</f>
        <v>1</v>
      </c>
      <c r="F99" s="43" t="s">
        <v>34</v>
      </c>
      <c r="G99" s="43" t="n">
        <v>98</v>
      </c>
      <c r="H99" s="44" t="s">
        <v>333</v>
      </c>
      <c r="I99" s="44" t="s">
        <v>57</v>
      </c>
      <c r="J99" s="44" t="s">
        <v>33</v>
      </c>
      <c r="K99" s="46" t="n">
        <f aca="false">IF(E99=TRUE(),1,0)</f>
        <v>1</v>
      </c>
      <c r="L99" s="47" t="n">
        <v>46218.3436342593</v>
      </c>
    </row>
    <row r="100" customFormat="false" ht="15" hidden="false" customHeight="true" outlineLevel="0" collapsed="false">
      <c r="A100" s="38" t="n">
        <v>99</v>
      </c>
      <c r="B100" s="39" t="s">
        <v>334</v>
      </c>
      <c r="C100" s="39" t="s">
        <v>335</v>
      </c>
      <c r="D100" s="39" t="s">
        <v>37</v>
      </c>
      <c r="E100" s="40" t="b">
        <f aca="false">FALSE()</f>
        <v>0</v>
      </c>
      <c r="F100" s="38" t="s">
        <v>40</v>
      </c>
      <c r="G100" s="38" t="n">
        <v>99</v>
      </c>
      <c r="H100" s="39" t="s">
        <v>336</v>
      </c>
      <c r="I100" s="39" t="s">
        <v>46</v>
      </c>
      <c r="J100" s="39" t="s">
        <v>47</v>
      </c>
      <c r="K100" s="41" t="n">
        <f aca="false">IF(E100=TRUE(),1,0)</f>
        <v>0</v>
      </c>
      <c r="L100" s="39"/>
    </row>
    <row r="101" customFormat="false" ht="15" hidden="false" customHeight="true" outlineLevel="0" collapsed="false">
      <c r="A101" s="43" t="n">
        <v>100</v>
      </c>
      <c r="B101" s="44" t="s">
        <v>337</v>
      </c>
      <c r="C101" s="44" t="s">
        <v>338</v>
      </c>
      <c r="D101" s="44" t="s">
        <v>37</v>
      </c>
      <c r="E101" s="45" t="b">
        <f aca="false">FALSE()</f>
        <v>0</v>
      </c>
      <c r="F101" s="43" t="s">
        <v>44</v>
      </c>
      <c r="G101" s="43" t="n">
        <v>100</v>
      </c>
      <c r="H101" s="44" t="s">
        <v>339</v>
      </c>
      <c r="I101" s="44" t="s">
        <v>46</v>
      </c>
      <c r="J101" s="44" t="s">
        <v>33</v>
      </c>
      <c r="K101" s="46" t="n">
        <f aca="false">IF(E101=TRUE(),1,0)</f>
        <v>0</v>
      </c>
      <c r="L101" s="44"/>
    </row>
    <row r="102" customFormat="false" ht="15" hidden="false" customHeight="true" outlineLevel="0" collapsed="false">
      <c r="A102" s="38" t="n">
        <v>101</v>
      </c>
      <c r="B102" s="39" t="s">
        <v>340</v>
      </c>
      <c r="C102" s="39" t="s">
        <v>341</v>
      </c>
      <c r="D102" s="39" t="s">
        <v>33</v>
      </c>
      <c r="E102" s="40" t="b">
        <f aca="false">FALSE()</f>
        <v>0</v>
      </c>
      <c r="F102" s="38" t="s">
        <v>44</v>
      </c>
      <c r="G102" s="38" t="n">
        <v>101</v>
      </c>
      <c r="H102" s="39" t="s">
        <v>342</v>
      </c>
      <c r="I102" s="39" t="s">
        <v>57</v>
      </c>
      <c r="J102" s="39" t="s">
        <v>37</v>
      </c>
      <c r="K102" s="41" t="n">
        <f aca="false">IF(E102=TRUE(),1,0)</f>
        <v>0</v>
      </c>
      <c r="L102" s="39"/>
    </row>
    <row r="103" customFormat="false" ht="15" hidden="false" customHeight="true" outlineLevel="0" collapsed="false">
      <c r="A103" s="43" t="n">
        <v>102</v>
      </c>
      <c r="B103" s="44" t="s">
        <v>343</v>
      </c>
      <c r="C103" s="44" t="s">
        <v>344</v>
      </c>
      <c r="D103" s="44" t="s">
        <v>33</v>
      </c>
      <c r="E103" s="45" t="b">
        <f aca="false">FALSE()</f>
        <v>0</v>
      </c>
      <c r="F103" s="43" t="s">
        <v>40</v>
      </c>
      <c r="G103" s="43" t="n">
        <v>102</v>
      </c>
      <c r="H103" s="44" t="s">
        <v>345</v>
      </c>
      <c r="I103" s="44" t="s">
        <v>46</v>
      </c>
      <c r="J103" s="44" t="s">
        <v>37</v>
      </c>
      <c r="K103" s="46" t="n">
        <f aca="false">IF(E103=TRUE(),1,0)</f>
        <v>0</v>
      </c>
      <c r="L103" s="44"/>
    </row>
    <row r="104" customFormat="false" ht="15" hidden="false" customHeight="true" outlineLevel="0" collapsed="false">
      <c r="A104" s="38" t="n">
        <v>103</v>
      </c>
      <c r="B104" s="39" t="s">
        <v>346</v>
      </c>
      <c r="C104" s="39" t="s">
        <v>347</v>
      </c>
      <c r="D104" s="39" t="s">
        <v>37</v>
      </c>
      <c r="E104" s="40" t="b">
        <f aca="false">TRUE()</f>
        <v>1</v>
      </c>
      <c r="F104" s="38" t="s">
        <v>44</v>
      </c>
      <c r="G104" s="38" t="n">
        <v>103</v>
      </c>
      <c r="H104" s="39" t="s">
        <v>348</v>
      </c>
      <c r="I104" s="39" t="s">
        <v>46</v>
      </c>
      <c r="J104" s="39" t="s">
        <v>33</v>
      </c>
      <c r="K104" s="41" t="n">
        <f aca="false">IF(E104=TRUE(),1,0)</f>
        <v>1</v>
      </c>
      <c r="L104" s="42" t="n">
        <v>46218.3438425926</v>
      </c>
    </row>
    <row r="105" customFormat="false" ht="15" hidden="false" customHeight="true" outlineLevel="0" collapsed="false">
      <c r="A105" s="43" t="n">
        <v>104</v>
      </c>
      <c r="B105" s="44" t="s">
        <v>349</v>
      </c>
      <c r="C105" s="44" t="s">
        <v>350</v>
      </c>
      <c r="D105" s="44" t="s">
        <v>37</v>
      </c>
      <c r="E105" s="45" t="b">
        <f aca="false">TRUE()</f>
        <v>1</v>
      </c>
      <c r="F105" s="43" t="s">
        <v>40</v>
      </c>
      <c r="G105" s="43" t="n">
        <v>104</v>
      </c>
      <c r="H105" s="44" t="s">
        <v>351</v>
      </c>
      <c r="I105" s="44" t="s">
        <v>57</v>
      </c>
      <c r="J105" s="44" t="s">
        <v>33</v>
      </c>
      <c r="K105" s="46" t="n">
        <f aca="false">IF(E105=TRUE(),1,0)</f>
        <v>1</v>
      </c>
      <c r="L105" s="47" t="n">
        <v>46218.3441550926</v>
      </c>
    </row>
    <row r="106" customFormat="false" ht="15" hidden="false" customHeight="true" outlineLevel="0" collapsed="false">
      <c r="A106" s="38" t="n">
        <v>105</v>
      </c>
      <c r="B106" s="39" t="s">
        <v>352</v>
      </c>
      <c r="C106" s="39" t="s">
        <v>353</v>
      </c>
      <c r="D106" s="39" t="s">
        <v>33</v>
      </c>
      <c r="E106" s="40" t="b">
        <f aca="false">FALSE()</f>
        <v>0</v>
      </c>
      <c r="F106" s="38" t="s">
        <v>44</v>
      </c>
      <c r="G106" s="38" t="n">
        <v>105</v>
      </c>
      <c r="H106" s="39" t="s">
        <v>354</v>
      </c>
      <c r="I106" s="39" t="s">
        <v>57</v>
      </c>
      <c r="J106" s="39" t="s">
        <v>33</v>
      </c>
      <c r="K106" s="41" t="n">
        <f aca="false">IF(E106=TRUE(),1,0)</f>
        <v>0</v>
      </c>
      <c r="L106" s="39"/>
    </row>
    <row r="107" customFormat="false" ht="15" hidden="false" customHeight="true" outlineLevel="0" collapsed="false">
      <c r="A107" s="43" t="n">
        <v>106</v>
      </c>
      <c r="B107" s="44" t="s">
        <v>355</v>
      </c>
      <c r="C107" s="44" t="s">
        <v>356</v>
      </c>
      <c r="D107" s="44" t="s">
        <v>33</v>
      </c>
      <c r="E107" s="45" t="b">
        <f aca="false">TRUE()</f>
        <v>1</v>
      </c>
      <c r="F107" s="43" t="s">
        <v>34</v>
      </c>
      <c r="G107" s="43" t="n">
        <v>106</v>
      </c>
      <c r="H107" s="44" t="s">
        <v>357</v>
      </c>
      <c r="I107" s="44" t="s">
        <v>36</v>
      </c>
      <c r="J107" s="44" t="s">
        <v>37</v>
      </c>
      <c r="K107" s="46" t="n">
        <f aca="false">IF(E107=TRUE(),1,0)</f>
        <v>1</v>
      </c>
      <c r="L107" s="47" t="n">
        <v>46218.3443171296</v>
      </c>
    </row>
    <row r="108" customFormat="false" ht="15" hidden="false" customHeight="true" outlineLevel="0" collapsed="false">
      <c r="A108" s="38" t="n">
        <v>107</v>
      </c>
      <c r="B108" s="39" t="s">
        <v>358</v>
      </c>
      <c r="C108" s="39" t="s">
        <v>359</v>
      </c>
      <c r="D108" s="39" t="s">
        <v>47</v>
      </c>
      <c r="E108" s="40" t="b">
        <f aca="false">FALSE()</f>
        <v>0</v>
      </c>
      <c r="F108" s="38" t="s">
        <v>44</v>
      </c>
      <c r="G108" s="38" t="n">
        <v>107</v>
      </c>
      <c r="H108" s="39" t="s">
        <v>360</v>
      </c>
      <c r="I108" s="39" t="s">
        <v>36</v>
      </c>
      <c r="J108" s="39" t="s">
        <v>47</v>
      </c>
      <c r="K108" s="41" t="n">
        <f aca="false">IF(E108=TRUE(),1,0)</f>
        <v>0</v>
      </c>
      <c r="L108" s="39"/>
    </row>
    <row r="109" customFormat="false" ht="15" hidden="false" customHeight="true" outlineLevel="0" collapsed="false">
      <c r="A109" s="43" t="n">
        <v>108</v>
      </c>
      <c r="B109" s="44" t="s">
        <v>361</v>
      </c>
      <c r="C109" s="44" t="s">
        <v>362</v>
      </c>
      <c r="D109" s="44" t="s">
        <v>47</v>
      </c>
      <c r="E109" s="45" t="b">
        <f aca="false">FALSE()</f>
        <v>0</v>
      </c>
      <c r="F109" s="43" t="s">
        <v>40</v>
      </c>
      <c r="G109" s="43" t="n">
        <v>108</v>
      </c>
      <c r="H109" s="44" t="s">
        <v>363</v>
      </c>
      <c r="I109" s="44" t="s">
        <v>46</v>
      </c>
      <c r="J109" s="44" t="s">
        <v>37</v>
      </c>
      <c r="K109" s="46" t="n">
        <f aca="false">IF(E109=TRUE(),1,0)</f>
        <v>0</v>
      </c>
      <c r="L109" s="44"/>
    </row>
    <row r="110" customFormat="false" ht="15" hidden="false" customHeight="true" outlineLevel="0" collapsed="false">
      <c r="A110" s="38" t="n">
        <v>109</v>
      </c>
      <c r="B110" s="39" t="s">
        <v>364</v>
      </c>
      <c r="C110" s="39" t="s">
        <v>365</v>
      </c>
      <c r="D110" s="39" t="s">
        <v>47</v>
      </c>
      <c r="E110" s="40" t="b">
        <f aca="false">TRUE()</f>
        <v>1</v>
      </c>
      <c r="F110" s="38" t="s">
        <v>40</v>
      </c>
      <c r="G110" s="38" t="n">
        <v>109</v>
      </c>
      <c r="H110" s="39" t="s">
        <v>366</v>
      </c>
      <c r="I110" s="39" t="s">
        <v>36</v>
      </c>
      <c r="J110" s="39" t="s">
        <v>33</v>
      </c>
      <c r="K110" s="41" t="n">
        <f aca="false">IF(E110=TRUE(),1,0)</f>
        <v>1</v>
      </c>
      <c r="L110" s="42" t="n">
        <v>46218.3444212963</v>
      </c>
    </row>
    <row r="111" customFormat="false" ht="15" hidden="false" customHeight="true" outlineLevel="0" collapsed="false">
      <c r="A111" s="43" t="n">
        <v>110</v>
      </c>
      <c r="B111" s="44" t="s">
        <v>367</v>
      </c>
      <c r="C111" s="44" t="s">
        <v>368</v>
      </c>
      <c r="D111" s="44" t="s">
        <v>37</v>
      </c>
      <c r="E111" s="45" t="b">
        <f aca="false">TRUE()</f>
        <v>1</v>
      </c>
      <c r="F111" s="43" t="s">
        <v>40</v>
      </c>
      <c r="G111" s="43" t="n">
        <v>110</v>
      </c>
      <c r="H111" s="44" t="s">
        <v>369</v>
      </c>
      <c r="I111" s="44" t="s">
        <v>57</v>
      </c>
      <c r="J111" s="44" t="s">
        <v>33</v>
      </c>
      <c r="K111" s="46" t="n">
        <f aca="false">IF(E111=TRUE(),1,0)</f>
        <v>1</v>
      </c>
      <c r="L111" s="47" t="n">
        <v>46218.3447337963</v>
      </c>
    </row>
    <row r="112" customFormat="false" ht="15" hidden="false" customHeight="true" outlineLevel="0" collapsed="false">
      <c r="A112" s="38" t="n">
        <v>111</v>
      </c>
      <c r="B112" s="39" t="s">
        <v>370</v>
      </c>
      <c r="C112" s="39" t="s">
        <v>371</v>
      </c>
      <c r="D112" s="39" t="s">
        <v>47</v>
      </c>
      <c r="E112" s="40" t="b">
        <f aca="false">FALSE()</f>
        <v>0</v>
      </c>
      <c r="F112" s="38" t="s">
        <v>40</v>
      </c>
      <c r="G112" s="38" t="n">
        <v>111</v>
      </c>
      <c r="H112" s="39" t="s">
        <v>372</v>
      </c>
      <c r="I112" s="39" t="s">
        <v>57</v>
      </c>
      <c r="J112" s="39" t="s">
        <v>33</v>
      </c>
      <c r="K112" s="41" t="n">
        <f aca="false">IF(E112=TRUE(),1,0)</f>
        <v>0</v>
      </c>
      <c r="L112" s="39"/>
    </row>
    <row r="113" customFormat="false" ht="15" hidden="false" customHeight="true" outlineLevel="0" collapsed="false">
      <c r="A113" s="43" t="n">
        <v>112</v>
      </c>
      <c r="B113" s="44" t="s">
        <v>373</v>
      </c>
      <c r="C113" s="44" t="s">
        <v>374</v>
      </c>
      <c r="D113" s="44" t="s">
        <v>37</v>
      </c>
      <c r="E113" s="45" t="b">
        <f aca="false">TRUE()</f>
        <v>1</v>
      </c>
      <c r="F113" s="43" t="s">
        <v>44</v>
      </c>
      <c r="G113" s="43" t="n">
        <v>112</v>
      </c>
      <c r="H113" s="44" t="s">
        <v>375</v>
      </c>
      <c r="I113" s="44" t="s">
        <v>57</v>
      </c>
      <c r="J113" s="44" t="s">
        <v>33</v>
      </c>
      <c r="K113" s="46" t="n">
        <f aca="false">IF(E113=TRUE(),1,0)</f>
        <v>1</v>
      </c>
      <c r="L113" s="47" t="n">
        <v>46218.3454050926</v>
      </c>
    </row>
    <row r="114" customFormat="false" ht="15" hidden="false" customHeight="true" outlineLevel="0" collapsed="false">
      <c r="A114" s="38" t="n">
        <v>113</v>
      </c>
      <c r="B114" s="39" t="s">
        <v>376</v>
      </c>
      <c r="C114" s="39" t="s">
        <v>377</v>
      </c>
      <c r="D114" s="39" t="s">
        <v>37</v>
      </c>
      <c r="E114" s="40" t="b">
        <f aca="false">FALSE()</f>
        <v>0</v>
      </c>
      <c r="F114" s="38" t="s">
        <v>40</v>
      </c>
      <c r="G114" s="38" t="n">
        <v>113</v>
      </c>
      <c r="H114" s="39" t="s">
        <v>378</v>
      </c>
      <c r="I114" s="39" t="s">
        <v>57</v>
      </c>
      <c r="J114" s="39" t="s">
        <v>37</v>
      </c>
      <c r="K114" s="41" t="n">
        <f aca="false">IF(E114=TRUE(),1,0)</f>
        <v>0</v>
      </c>
      <c r="L114" s="39"/>
    </row>
    <row r="115" customFormat="false" ht="15" hidden="false" customHeight="true" outlineLevel="0" collapsed="false">
      <c r="A115" s="43" t="n">
        <v>114</v>
      </c>
      <c r="B115" s="44" t="s">
        <v>379</v>
      </c>
      <c r="C115" s="44" t="s">
        <v>380</v>
      </c>
      <c r="D115" s="44" t="s">
        <v>37</v>
      </c>
      <c r="E115" s="45" t="b">
        <f aca="false">FALSE()</f>
        <v>0</v>
      </c>
      <c r="F115" s="43" t="s">
        <v>34</v>
      </c>
      <c r="G115" s="43" t="n">
        <v>114</v>
      </c>
      <c r="H115" s="44" t="s">
        <v>381</v>
      </c>
      <c r="I115" s="44" t="s">
        <v>46</v>
      </c>
      <c r="J115" s="44" t="s">
        <v>37</v>
      </c>
      <c r="K115" s="46" t="n">
        <f aca="false">IF(E115=TRUE(),1,0)</f>
        <v>0</v>
      </c>
      <c r="L115" s="44"/>
    </row>
    <row r="116" customFormat="false" ht="15" hidden="false" customHeight="true" outlineLevel="0" collapsed="false">
      <c r="A116" s="38" t="n">
        <v>115</v>
      </c>
      <c r="B116" s="39" t="s">
        <v>382</v>
      </c>
      <c r="C116" s="39" t="s">
        <v>383</v>
      </c>
      <c r="D116" s="39" t="s">
        <v>33</v>
      </c>
      <c r="E116" s="40" t="b">
        <f aca="false">FALSE()</f>
        <v>0</v>
      </c>
      <c r="F116" s="38" t="s">
        <v>34</v>
      </c>
      <c r="G116" s="38" t="n">
        <v>115</v>
      </c>
      <c r="H116" s="39" t="s">
        <v>384</v>
      </c>
      <c r="I116" s="39" t="s">
        <v>46</v>
      </c>
      <c r="J116" s="39" t="s">
        <v>47</v>
      </c>
      <c r="K116" s="41" t="n">
        <f aca="false">IF(E116=TRUE(),1,0)</f>
        <v>0</v>
      </c>
      <c r="L116" s="39"/>
    </row>
    <row r="117" customFormat="false" ht="15" hidden="false" customHeight="true" outlineLevel="0" collapsed="false">
      <c r="A117" s="43" t="n">
        <v>116</v>
      </c>
      <c r="B117" s="44" t="s">
        <v>385</v>
      </c>
      <c r="C117" s="44" t="s">
        <v>386</v>
      </c>
      <c r="D117" s="44" t="s">
        <v>47</v>
      </c>
      <c r="E117" s="45" t="b">
        <f aca="false">TRUE()</f>
        <v>1</v>
      </c>
      <c r="F117" s="43" t="s">
        <v>44</v>
      </c>
      <c r="G117" s="43" t="n">
        <v>116</v>
      </c>
      <c r="H117" s="44" t="s">
        <v>387</v>
      </c>
      <c r="I117" s="44" t="s">
        <v>36</v>
      </c>
      <c r="J117" s="44" t="s">
        <v>37</v>
      </c>
      <c r="K117" s="46" t="n">
        <f aca="false">IF(E117=TRUE(),1,0)</f>
        <v>1</v>
      </c>
      <c r="L117" s="47" t="n">
        <v>46218.3455092593</v>
      </c>
    </row>
    <row r="118" customFormat="false" ht="15" hidden="false" customHeight="true" outlineLevel="0" collapsed="false">
      <c r="A118" s="38" t="n">
        <v>117</v>
      </c>
      <c r="B118" s="39" t="s">
        <v>388</v>
      </c>
      <c r="C118" s="39" t="s">
        <v>389</v>
      </c>
      <c r="D118" s="39" t="s">
        <v>47</v>
      </c>
      <c r="E118" s="40" t="b">
        <f aca="false">FALSE()</f>
        <v>0</v>
      </c>
      <c r="F118" s="38" t="s">
        <v>40</v>
      </c>
      <c r="G118" s="38" t="n">
        <v>117</v>
      </c>
      <c r="H118" s="39" t="s">
        <v>390</v>
      </c>
      <c r="I118" s="39" t="s">
        <v>46</v>
      </c>
      <c r="J118" s="39" t="s">
        <v>33</v>
      </c>
      <c r="K118" s="41" t="n">
        <f aca="false">IF(E118=TRUE(),1,0)</f>
        <v>0</v>
      </c>
      <c r="L118" s="39"/>
    </row>
    <row r="119" customFormat="false" ht="15" hidden="false" customHeight="true" outlineLevel="0" collapsed="false">
      <c r="A119" s="43" t="n">
        <v>118</v>
      </c>
      <c r="B119" s="44" t="s">
        <v>391</v>
      </c>
      <c r="C119" s="44" t="s">
        <v>392</v>
      </c>
      <c r="D119" s="44" t="s">
        <v>33</v>
      </c>
      <c r="E119" s="45" t="b">
        <f aca="false">FALSE()</f>
        <v>0</v>
      </c>
      <c r="F119" s="43" t="s">
        <v>44</v>
      </c>
      <c r="G119" s="43" t="n">
        <v>118</v>
      </c>
      <c r="H119" s="44" t="s">
        <v>393</v>
      </c>
      <c r="I119" s="44" t="s">
        <v>57</v>
      </c>
      <c r="J119" s="44" t="s">
        <v>37</v>
      </c>
      <c r="K119" s="46" t="n">
        <f aca="false">IF(E119=TRUE(),1,0)</f>
        <v>0</v>
      </c>
      <c r="L119" s="44"/>
    </row>
    <row r="120" customFormat="false" ht="15" hidden="false" customHeight="true" outlineLevel="0" collapsed="false">
      <c r="A120" s="38" t="n">
        <v>119</v>
      </c>
      <c r="B120" s="39" t="s">
        <v>394</v>
      </c>
      <c r="C120" s="39" t="s">
        <v>395</v>
      </c>
      <c r="D120" s="39" t="s">
        <v>37</v>
      </c>
      <c r="E120" s="40" t="b">
        <f aca="false">FALSE()</f>
        <v>0</v>
      </c>
      <c r="F120" s="38" t="s">
        <v>34</v>
      </c>
      <c r="G120" s="38" t="n">
        <v>119</v>
      </c>
      <c r="H120" s="39" t="s">
        <v>396</v>
      </c>
      <c r="I120" s="39" t="s">
        <v>57</v>
      </c>
      <c r="J120" s="39" t="s">
        <v>33</v>
      </c>
      <c r="K120" s="41" t="n">
        <f aca="false">IF(E120=TRUE(),1,0)</f>
        <v>0</v>
      </c>
      <c r="L120" s="39"/>
    </row>
    <row r="121" customFormat="false" ht="15" hidden="false" customHeight="true" outlineLevel="0" collapsed="false">
      <c r="A121" s="43" t="n">
        <v>120</v>
      </c>
      <c r="B121" s="44" t="s">
        <v>397</v>
      </c>
      <c r="C121" s="44" t="s">
        <v>398</v>
      </c>
      <c r="D121" s="44" t="s">
        <v>47</v>
      </c>
      <c r="E121" s="45" t="b">
        <f aca="false">FALSE()</f>
        <v>0</v>
      </c>
      <c r="F121" s="43" t="s">
        <v>44</v>
      </c>
      <c r="G121" s="43" t="n">
        <v>120</v>
      </c>
      <c r="H121" s="44" t="s">
        <v>399</v>
      </c>
      <c r="I121" s="44" t="s">
        <v>57</v>
      </c>
      <c r="J121" s="44" t="s">
        <v>47</v>
      </c>
      <c r="K121" s="46" t="n">
        <f aca="false">IF(E121=TRUE(),1,0)</f>
        <v>0</v>
      </c>
      <c r="L121" s="44"/>
    </row>
    <row r="122" customFormat="false" ht="15" hidden="false" customHeight="true" outlineLevel="0" collapsed="false">
      <c r="A122" s="38" t="n">
        <v>121</v>
      </c>
      <c r="B122" s="39" t="s">
        <v>400</v>
      </c>
      <c r="C122" s="39" t="s">
        <v>401</v>
      </c>
      <c r="D122" s="39" t="s">
        <v>47</v>
      </c>
      <c r="E122" s="40" t="b">
        <f aca="false">FALSE()</f>
        <v>0</v>
      </c>
      <c r="F122" s="38" t="s">
        <v>40</v>
      </c>
      <c r="G122" s="38" t="n">
        <v>121</v>
      </c>
      <c r="H122" s="39" t="s">
        <v>402</v>
      </c>
      <c r="I122" s="39" t="s">
        <v>46</v>
      </c>
      <c r="J122" s="39" t="s">
        <v>37</v>
      </c>
      <c r="K122" s="41" t="n">
        <f aca="false">IF(E122=TRUE(),1,0)</f>
        <v>0</v>
      </c>
      <c r="L122" s="39"/>
    </row>
    <row r="123" customFormat="false" ht="15" hidden="false" customHeight="true" outlineLevel="0" collapsed="false">
      <c r="A123" s="43" t="n">
        <v>122</v>
      </c>
      <c r="B123" s="44" t="s">
        <v>403</v>
      </c>
      <c r="C123" s="44" t="s">
        <v>404</v>
      </c>
      <c r="D123" s="44" t="s">
        <v>33</v>
      </c>
      <c r="E123" s="45" t="b">
        <f aca="false">TRUE()</f>
        <v>1</v>
      </c>
      <c r="F123" s="43" t="s">
        <v>40</v>
      </c>
      <c r="G123" s="43" t="n">
        <v>122</v>
      </c>
      <c r="H123" s="44" t="s">
        <v>405</v>
      </c>
      <c r="I123" s="44" t="s">
        <v>36</v>
      </c>
      <c r="J123" s="44" t="s">
        <v>47</v>
      </c>
      <c r="K123" s="46" t="n">
        <f aca="false">IF(E123=TRUE(),1,0)</f>
        <v>1</v>
      </c>
      <c r="L123" s="47" t="n">
        <v>46218.3458217593</v>
      </c>
    </row>
    <row r="124" customFormat="false" ht="15" hidden="false" customHeight="true" outlineLevel="0" collapsed="false">
      <c r="A124" s="38" t="n">
        <v>123</v>
      </c>
      <c r="B124" s="39" t="s">
        <v>406</v>
      </c>
      <c r="C124" s="39" t="s">
        <v>407</v>
      </c>
      <c r="D124" s="39" t="s">
        <v>37</v>
      </c>
      <c r="E124" s="40" t="b">
        <f aca="false">FALSE()</f>
        <v>0</v>
      </c>
      <c r="F124" s="38" t="s">
        <v>40</v>
      </c>
      <c r="G124" s="38" t="n">
        <v>123</v>
      </c>
      <c r="H124" s="39" t="s">
        <v>408</v>
      </c>
      <c r="I124" s="39" t="s">
        <v>36</v>
      </c>
      <c r="J124" s="39" t="s">
        <v>37</v>
      </c>
      <c r="K124" s="41" t="n">
        <f aca="false">IF(E124=TRUE(),1,0)</f>
        <v>0</v>
      </c>
      <c r="L124" s="39"/>
    </row>
    <row r="125" customFormat="false" ht="15" hidden="false" customHeight="true" outlineLevel="0" collapsed="false">
      <c r="A125" s="43" t="n">
        <v>124</v>
      </c>
      <c r="B125" s="44" t="s">
        <v>409</v>
      </c>
      <c r="C125" s="44" t="s">
        <v>410</v>
      </c>
      <c r="D125" s="44" t="s">
        <v>47</v>
      </c>
      <c r="E125" s="45" t="b">
        <f aca="false">TRUE()</f>
        <v>1</v>
      </c>
      <c r="F125" s="43" t="s">
        <v>34</v>
      </c>
      <c r="G125" s="43" t="n">
        <v>124</v>
      </c>
      <c r="H125" s="44" t="s">
        <v>411</v>
      </c>
      <c r="I125" s="44" t="s">
        <v>36</v>
      </c>
      <c r="J125" s="44" t="s">
        <v>33</v>
      </c>
      <c r="K125" s="46" t="n">
        <f aca="false">IF(E125=TRUE(),1,0)</f>
        <v>1</v>
      </c>
      <c r="L125" s="47" t="n">
        <v>46218.3466898148</v>
      </c>
    </row>
    <row r="126" customFormat="false" ht="15" hidden="false" customHeight="true" outlineLevel="0" collapsed="false">
      <c r="A126" s="38" t="n">
        <v>125</v>
      </c>
      <c r="B126" s="39" t="s">
        <v>412</v>
      </c>
      <c r="C126" s="39" t="s">
        <v>413</v>
      </c>
      <c r="D126" s="39" t="s">
        <v>47</v>
      </c>
      <c r="E126" s="40" t="b">
        <f aca="false">TRUE()</f>
        <v>1</v>
      </c>
      <c r="F126" s="38" t="s">
        <v>44</v>
      </c>
      <c r="G126" s="38" t="n">
        <v>125</v>
      </c>
      <c r="H126" s="39" t="s">
        <v>414</v>
      </c>
      <c r="I126" s="39" t="s">
        <v>57</v>
      </c>
      <c r="J126" s="39" t="s">
        <v>47</v>
      </c>
      <c r="K126" s="41" t="n">
        <f aca="false">IF(E126=TRUE(),1,0)</f>
        <v>1</v>
      </c>
      <c r="L126" s="42" t="n">
        <v>46218.3472337963</v>
      </c>
    </row>
    <row r="127" customFormat="false" ht="15" hidden="false" customHeight="true" outlineLevel="0" collapsed="false">
      <c r="A127" s="43" t="n">
        <v>126</v>
      </c>
      <c r="B127" s="44" t="s">
        <v>415</v>
      </c>
      <c r="C127" s="44" t="s">
        <v>416</v>
      </c>
      <c r="D127" s="44" t="s">
        <v>47</v>
      </c>
      <c r="E127" s="45" t="b">
        <f aca="false">FALSE()</f>
        <v>0</v>
      </c>
      <c r="F127" s="43" t="s">
        <v>34</v>
      </c>
      <c r="G127" s="43" t="n">
        <v>126</v>
      </c>
      <c r="H127" s="44" t="s">
        <v>417</v>
      </c>
      <c r="I127" s="44" t="s">
        <v>57</v>
      </c>
      <c r="J127" s="44" t="s">
        <v>37</v>
      </c>
      <c r="K127" s="46" t="n">
        <f aca="false">IF(E127=TRUE(),1,0)</f>
        <v>0</v>
      </c>
      <c r="L127" s="44"/>
    </row>
    <row r="128" customFormat="false" ht="15" hidden="false" customHeight="true" outlineLevel="0" collapsed="false">
      <c r="A128" s="38" t="n">
        <v>127</v>
      </c>
      <c r="B128" s="39" t="s">
        <v>418</v>
      </c>
      <c r="C128" s="39" t="s">
        <v>419</v>
      </c>
      <c r="D128" s="39" t="s">
        <v>37</v>
      </c>
      <c r="E128" s="40" t="b">
        <f aca="false">FALSE()</f>
        <v>0</v>
      </c>
      <c r="F128" s="38" t="s">
        <v>44</v>
      </c>
      <c r="G128" s="38" t="n">
        <v>127</v>
      </c>
      <c r="H128" s="39" t="s">
        <v>420</v>
      </c>
      <c r="I128" s="39" t="s">
        <v>57</v>
      </c>
      <c r="J128" s="39" t="s">
        <v>37</v>
      </c>
      <c r="K128" s="41" t="n">
        <f aca="false">IF(E128=TRUE(),1,0)</f>
        <v>0</v>
      </c>
      <c r="L128" s="39"/>
    </row>
    <row r="129" customFormat="false" ht="15" hidden="false" customHeight="true" outlineLevel="0" collapsed="false">
      <c r="A129" s="43" t="n">
        <v>128</v>
      </c>
      <c r="B129" s="44" t="s">
        <v>421</v>
      </c>
      <c r="C129" s="44" t="s">
        <v>422</v>
      </c>
      <c r="D129" s="44" t="s">
        <v>33</v>
      </c>
      <c r="E129" s="45" t="b">
        <f aca="false">TRUE()</f>
        <v>1</v>
      </c>
      <c r="F129" s="43" t="s">
        <v>40</v>
      </c>
      <c r="G129" s="43" t="n">
        <v>128</v>
      </c>
      <c r="H129" s="44" t="s">
        <v>423</v>
      </c>
      <c r="I129" s="44" t="s">
        <v>46</v>
      </c>
      <c r="J129" s="44" t="s">
        <v>37</v>
      </c>
      <c r="K129" s="46" t="n">
        <f aca="false">IF(E129=TRUE(),1,0)</f>
        <v>1</v>
      </c>
      <c r="L129" s="47" t="n">
        <v>46218.3487384259</v>
      </c>
    </row>
    <row r="130" customFormat="false" ht="15" hidden="false" customHeight="true" outlineLevel="0" collapsed="false">
      <c r="A130" s="38" t="n">
        <v>129</v>
      </c>
      <c r="B130" s="39" t="s">
        <v>424</v>
      </c>
      <c r="C130" s="39" t="s">
        <v>425</v>
      </c>
      <c r="D130" s="39" t="s">
        <v>37</v>
      </c>
      <c r="E130" s="40" t="b">
        <f aca="false">FALSE()</f>
        <v>0</v>
      </c>
      <c r="F130" s="38" t="s">
        <v>34</v>
      </c>
      <c r="G130" s="38" t="n">
        <v>129</v>
      </c>
      <c r="H130" s="39" t="s">
        <v>426</v>
      </c>
      <c r="I130" s="39" t="s">
        <v>36</v>
      </c>
      <c r="J130" s="39" t="s">
        <v>47</v>
      </c>
      <c r="K130" s="41" t="n">
        <f aca="false">IF(E130=TRUE(),1,0)</f>
        <v>0</v>
      </c>
      <c r="L130" s="39"/>
    </row>
    <row r="131" customFormat="false" ht="15" hidden="false" customHeight="true" outlineLevel="0" collapsed="false">
      <c r="A131" s="43" t="n">
        <v>130</v>
      </c>
      <c r="B131" s="44" t="s">
        <v>427</v>
      </c>
      <c r="C131" s="44" t="s">
        <v>428</v>
      </c>
      <c r="D131" s="44" t="s">
        <v>33</v>
      </c>
      <c r="E131" s="45" t="b">
        <f aca="false">TRUE()</f>
        <v>1</v>
      </c>
      <c r="F131" s="43" t="s">
        <v>40</v>
      </c>
      <c r="G131" s="43" t="n">
        <v>130</v>
      </c>
      <c r="H131" s="44" t="s">
        <v>429</v>
      </c>
      <c r="I131" s="44" t="s">
        <v>57</v>
      </c>
      <c r="J131" s="44" t="s">
        <v>47</v>
      </c>
      <c r="K131" s="46" t="n">
        <f aca="false">IF(E131=TRUE(),1,0)</f>
        <v>1</v>
      </c>
      <c r="L131" s="47" t="n">
        <v>46218.3488425926</v>
      </c>
    </row>
    <row r="132" customFormat="false" ht="15" hidden="false" customHeight="true" outlineLevel="0" collapsed="false">
      <c r="A132" s="38" t="n">
        <v>131</v>
      </c>
      <c r="B132" s="39" t="s">
        <v>430</v>
      </c>
      <c r="C132" s="39" t="s">
        <v>431</v>
      </c>
      <c r="D132" s="39" t="s">
        <v>33</v>
      </c>
      <c r="E132" s="40" t="b">
        <f aca="false">FALSE()</f>
        <v>0</v>
      </c>
      <c r="F132" s="38" t="s">
        <v>34</v>
      </c>
      <c r="G132" s="38" t="n">
        <v>131</v>
      </c>
      <c r="H132" s="39" t="s">
        <v>432</v>
      </c>
      <c r="I132" s="39" t="s">
        <v>36</v>
      </c>
      <c r="J132" s="39" t="s">
        <v>47</v>
      </c>
      <c r="K132" s="41" t="n">
        <f aca="false">IF(E132=TRUE(),1,0)</f>
        <v>0</v>
      </c>
      <c r="L132" s="39"/>
    </row>
    <row r="133" customFormat="false" ht="15" hidden="false" customHeight="true" outlineLevel="0" collapsed="false">
      <c r="A133" s="43" t="n">
        <v>132</v>
      </c>
      <c r="B133" s="44" t="s">
        <v>433</v>
      </c>
      <c r="C133" s="44" t="s">
        <v>434</v>
      </c>
      <c r="D133" s="44" t="s">
        <v>33</v>
      </c>
      <c r="E133" s="45" t="b">
        <f aca="false">FALSE()</f>
        <v>0</v>
      </c>
      <c r="F133" s="43" t="s">
        <v>40</v>
      </c>
      <c r="G133" s="43" t="n">
        <v>132</v>
      </c>
      <c r="H133" s="44" t="s">
        <v>435</v>
      </c>
      <c r="I133" s="44" t="s">
        <v>57</v>
      </c>
      <c r="J133" s="44" t="s">
        <v>33</v>
      </c>
      <c r="K133" s="46" t="n">
        <f aca="false">IF(E133=TRUE(),1,0)</f>
        <v>0</v>
      </c>
      <c r="L133" s="44"/>
    </row>
    <row r="134" customFormat="false" ht="15" hidden="false" customHeight="true" outlineLevel="0" collapsed="false">
      <c r="A134" s="38" t="n">
        <v>133</v>
      </c>
      <c r="B134" s="39" t="s">
        <v>436</v>
      </c>
      <c r="C134" s="39" t="s">
        <v>437</v>
      </c>
      <c r="D134" s="39" t="s">
        <v>33</v>
      </c>
      <c r="E134" s="40" t="b">
        <f aca="false">TRUE()</f>
        <v>1</v>
      </c>
      <c r="F134" s="38" t="s">
        <v>34</v>
      </c>
      <c r="G134" s="38" t="n">
        <v>133</v>
      </c>
      <c r="H134" s="39" t="s">
        <v>438</v>
      </c>
      <c r="I134" s="39" t="s">
        <v>46</v>
      </c>
      <c r="J134" s="39" t="s">
        <v>33</v>
      </c>
      <c r="K134" s="41" t="n">
        <f aca="false">IF(E134=TRUE(),1,0)</f>
        <v>1</v>
      </c>
      <c r="L134" s="42" t="n">
        <v>46218.351400463</v>
      </c>
    </row>
    <row r="135" customFormat="false" ht="15" hidden="false" customHeight="true" outlineLevel="0" collapsed="false">
      <c r="A135" s="43" t="n">
        <v>134</v>
      </c>
      <c r="B135" s="44" t="s">
        <v>439</v>
      </c>
      <c r="C135" s="44" t="s">
        <v>440</v>
      </c>
      <c r="D135" s="44" t="s">
        <v>33</v>
      </c>
      <c r="E135" s="45" t="b">
        <f aca="false">FALSE()</f>
        <v>0</v>
      </c>
      <c r="F135" s="43" t="s">
        <v>40</v>
      </c>
      <c r="G135" s="43" t="n">
        <v>134</v>
      </c>
      <c r="H135" s="44" t="s">
        <v>441</v>
      </c>
      <c r="I135" s="44" t="s">
        <v>36</v>
      </c>
      <c r="J135" s="44" t="s">
        <v>47</v>
      </c>
      <c r="K135" s="46" t="n">
        <f aca="false">IF(E135=TRUE(),1,0)</f>
        <v>0</v>
      </c>
      <c r="L135" s="44"/>
    </row>
    <row r="136" customFormat="false" ht="15" hidden="false" customHeight="true" outlineLevel="0" collapsed="false">
      <c r="A136" s="38" t="n">
        <v>135</v>
      </c>
      <c r="B136" s="39" t="s">
        <v>442</v>
      </c>
      <c r="C136" s="39" t="s">
        <v>443</v>
      </c>
      <c r="D136" s="39" t="s">
        <v>47</v>
      </c>
      <c r="E136" s="40" t="b">
        <f aca="false">FALSE()</f>
        <v>0</v>
      </c>
      <c r="F136" s="38" t="s">
        <v>44</v>
      </c>
      <c r="G136" s="38" t="n">
        <v>135</v>
      </c>
      <c r="H136" s="39" t="s">
        <v>444</v>
      </c>
      <c r="I136" s="39" t="s">
        <v>57</v>
      </c>
      <c r="J136" s="39" t="s">
        <v>33</v>
      </c>
      <c r="K136" s="41" t="n">
        <f aca="false">IF(E136=TRUE(),1,0)</f>
        <v>0</v>
      </c>
      <c r="L136" s="39"/>
    </row>
    <row r="137" customFormat="false" ht="15" hidden="false" customHeight="true" outlineLevel="0" collapsed="false">
      <c r="A137" s="43" t="n">
        <v>136</v>
      </c>
      <c r="B137" s="44" t="s">
        <v>445</v>
      </c>
      <c r="C137" s="44" t="s">
        <v>446</v>
      </c>
      <c r="D137" s="44" t="s">
        <v>47</v>
      </c>
      <c r="E137" s="45" t="b">
        <f aca="false">TRUE()</f>
        <v>1</v>
      </c>
      <c r="F137" s="43" t="s">
        <v>34</v>
      </c>
      <c r="G137" s="43" t="n">
        <v>136</v>
      </c>
      <c r="H137" s="44" t="s">
        <v>447</v>
      </c>
      <c r="I137" s="44" t="s">
        <v>57</v>
      </c>
      <c r="J137" s="44" t="s">
        <v>47</v>
      </c>
      <c r="K137" s="46" t="n">
        <f aca="false">IF(E137=TRUE(),1,0)</f>
        <v>1</v>
      </c>
      <c r="L137" s="47" t="n">
        <v>46218.3514351852</v>
      </c>
    </row>
    <row r="138" customFormat="false" ht="15" hidden="false" customHeight="true" outlineLevel="0" collapsed="false">
      <c r="A138" s="38" t="n">
        <v>137</v>
      </c>
      <c r="B138" s="39" t="s">
        <v>448</v>
      </c>
      <c r="C138" s="39" t="s">
        <v>449</v>
      </c>
      <c r="D138" s="39" t="s">
        <v>33</v>
      </c>
      <c r="E138" s="40" t="b">
        <f aca="false">FALSE()</f>
        <v>0</v>
      </c>
      <c r="F138" s="38" t="s">
        <v>44</v>
      </c>
      <c r="G138" s="38" t="n">
        <v>137</v>
      </c>
      <c r="H138" s="39" t="s">
        <v>450</v>
      </c>
      <c r="I138" s="39" t="s">
        <v>46</v>
      </c>
      <c r="J138" s="39" t="s">
        <v>33</v>
      </c>
      <c r="K138" s="41" t="n">
        <f aca="false">IF(E138=TRUE(),1,0)</f>
        <v>0</v>
      </c>
      <c r="L138" s="39"/>
    </row>
    <row r="139" customFormat="false" ht="15" hidden="false" customHeight="true" outlineLevel="0" collapsed="false">
      <c r="A139" s="43" t="n">
        <v>138</v>
      </c>
      <c r="B139" s="44" t="s">
        <v>451</v>
      </c>
      <c r="C139" s="44" t="s">
        <v>452</v>
      </c>
      <c r="D139" s="44" t="s">
        <v>47</v>
      </c>
      <c r="E139" s="45" t="b">
        <f aca="false">FALSE()</f>
        <v>0</v>
      </c>
      <c r="F139" s="43" t="s">
        <v>40</v>
      </c>
      <c r="G139" s="43" t="n">
        <v>138</v>
      </c>
      <c r="H139" s="44" t="s">
        <v>453</v>
      </c>
      <c r="I139" s="44" t="s">
        <v>36</v>
      </c>
      <c r="J139" s="44" t="s">
        <v>37</v>
      </c>
      <c r="K139" s="46" t="n">
        <f aca="false">IF(E139=TRUE(),1,0)</f>
        <v>0</v>
      </c>
      <c r="L139" s="44"/>
    </row>
    <row r="140" customFormat="false" ht="15" hidden="false" customHeight="true" outlineLevel="0" collapsed="false">
      <c r="A140" s="38" t="n">
        <v>139</v>
      </c>
      <c r="B140" s="39" t="s">
        <v>454</v>
      </c>
      <c r="C140" s="39" t="s">
        <v>455</v>
      </c>
      <c r="D140" s="39" t="s">
        <v>37</v>
      </c>
      <c r="E140" s="40" t="b">
        <f aca="false">FALSE()</f>
        <v>0</v>
      </c>
      <c r="F140" s="38" t="s">
        <v>34</v>
      </c>
      <c r="G140" s="38" t="n">
        <v>139</v>
      </c>
      <c r="H140" s="39" t="s">
        <v>456</v>
      </c>
      <c r="I140" s="39" t="s">
        <v>57</v>
      </c>
      <c r="J140" s="39" t="s">
        <v>33</v>
      </c>
      <c r="K140" s="41" t="n">
        <f aca="false">IF(E140=TRUE(),1,0)</f>
        <v>0</v>
      </c>
      <c r="L140" s="39"/>
    </row>
    <row r="141" customFormat="false" ht="15" hidden="false" customHeight="true" outlineLevel="0" collapsed="false">
      <c r="A141" s="43" t="n">
        <v>140</v>
      </c>
      <c r="B141" s="44" t="s">
        <v>457</v>
      </c>
      <c r="C141" s="44" t="s">
        <v>458</v>
      </c>
      <c r="D141" s="44" t="s">
        <v>37</v>
      </c>
      <c r="E141" s="45" t="b">
        <f aca="false">TRUE()</f>
        <v>1</v>
      </c>
      <c r="F141" s="43" t="s">
        <v>40</v>
      </c>
      <c r="G141" s="43" t="n">
        <v>140</v>
      </c>
      <c r="H141" s="44" t="s">
        <v>459</v>
      </c>
      <c r="I141" s="44" t="s">
        <v>36</v>
      </c>
      <c r="J141" s="44" t="s">
        <v>47</v>
      </c>
      <c r="K141" s="46" t="n">
        <f aca="false">IF(E141=TRUE(),1,0)</f>
        <v>1</v>
      </c>
      <c r="L141" s="47" t="n">
        <v>46218.3521875</v>
      </c>
    </row>
    <row r="142" customFormat="false" ht="15" hidden="false" customHeight="true" outlineLevel="0" collapsed="false">
      <c r="A142" s="38" t="n">
        <v>141</v>
      </c>
      <c r="B142" s="39" t="s">
        <v>460</v>
      </c>
      <c r="C142" s="39" t="s">
        <v>461</v>
      </c>
      <c r="D142" s="39" t="s">
        <v>33</v>
      </c>
      <c r="E142" s="40" t="b">
        <f aca="false">FALSE()</f>
        <v>0</v>
      </c>
      <c r="F142" s="38" t="s">
        <v>34</v>
      </c>
      <c r="G142" s="38" t="n">
        <v>141</v>
      </c>
      <c r="H142" s="39" t="s">
        <v>462</v>
      </c>
      <c r="I142" s="39" t="s">
        <v>46</v>
      </c>
      <c r="J142" s="39" t="s">
        <v>37</v>
      </c>
      <c r="K142" s="41" t="n">
        <f aca="false">IF(E142=TRUE(),1,0)</f>
        <v>0</v>
      </c>
      <c r="L142" s="39"/>
    </row>
    <row r="143" customFormat="false" ht="15" hidden="false" customHeight="true" outlineLevel="0" collapsed="false">
      <c r="A143" s="43" t="n">
        <v>142</v>
      </c>
      <c r="B143" s="44" t="s">
        <v>463</v>
      </c>
      <c r="C143" s="44" t="s">
        <v>464</v>
      </c>
      <c r="D143" s="44" t="s">
        <v>33</v>
      </c>
      <c r="E143" s="45" t="b">
        <f aca="false">TRUE()</f>
        <v>1</v>
      </c>
      <c r="F143" s="43" t="s">
        <v>40</v>
      </c>
      <c r="G143" s="43" t="n">
        <v>142</v>
      </c>
      <c r="H143" s="44" t="s">
        <v>465</v>
      </c>
      <c r="I143" s="44" t="s">
        <v>36</v>
      </c>
      <c r="J143" s="44" t="s">
        <v>37</v>
      </c>
      <c r="K143" s="46" t="n">
        <f aca="false">IF(E143=TRUE(),1,0)</f>
        <v>1</v>
      </c>
      <c r="L143" s="47" t="n">
        <v>46218.3524305556</v>
      </c>
    </row>
    <row r="144" customFormat="false" ht="15" hidden="false" customHeight="true" outlineLevel="0" collapsed="false">
      <c r="A144" s="38" t="n">
        <v>143</v>
      </c>
      <c r="B144" s="39" t="s">
        <v>466</v>
      </c>
      <c r="C144" s="39" t="s">
        <v>467</v>
      </c>
      <c r="D144" s="39" t="s">
        <v>47</v>
      </c>
      <c r="E144" s="40" t="b">
        <f aca="false">TRUE()</f>
        <v>1</v>
      </c>
      <c r="F144" s="38" t="s">
        <v>40</v>
      </c>
      <c r="G144" s="38" t="n">
        <v>143</v>
      </c>
      <c r="H144" s="39" t="s">
        <v>468</v>
      </c>
      <c r="I144" s="39" t="s">
        <v>36</v>
      </c>
      <c r="J144" s="39" t="s">
        <v>47</v>
      </c>
      <c r="K144" s="41" t="n">
        <f aca="false">IF(E144=TRUE(),1,0)</f>
        <v>1</v>
      </c>
      <c r="L144" s="42" t="n">
        <v>46218.3538425926</v>
      </c>
    </row>
    <row r="145" customFormat="false" ht="15" hidden="false" customHeight="true" outlineLevel="0" collapsed="false">
      <c r="A145" s="43" t="n">
        <v>144</v>
      </c>
      <c r="B145" s="44" t="s">
        <v>469</v>
      </c>
      <c r="C145" s="44" t="s">
        <v>470</v>
      </c>
      <c r="D145" s="44" t="s">
        <v>37</v>
      </c>
      <c r="E145" s="45" t="b">
        <f aca="false">FALSE()</f>
        <v>0</v>
      </c>
      <c r="F145" s="43" t="s">
        <v>40</v>
      </c>
      <c r="G145" s="43" t="n">
        <v>144</v>
      </c>
      <c r="H145" s="44" t="s">
        <v>471</v>
      </c>
      <c r="I145" s="44" t="s">
        <v>36</v>
      </c>
      <c r="J145" s="44" t="s">
        <v>37</v>
      </c>
      <c r="K145" s="46" t="n">
        <f aca="false">IF(E145=TRUE(),1,0)</f>
        <v>0</v>
      </c>
      <c r="L145" s="44"/>
    </row>
    <row r="146" customFormat="false" ht="15" hidden="false" customHeight="true" outlineLevel="0" collapsed="false">
      <c r="A146" s="38" t="n">
        <v>145</v>
      </c>
      <c r="B146" s="39" t="s">
        <v>472</v>
      </c>
      <c r="C146" s="39" t="s">
        <v>473</v>
      </c>
      <c r="D146" s="39" t="s">
        <v>37</v>
      </c>
      <c r="E146" s="40" t="b">
        <f aca="false">TRUE()</f>
        <v>1</v>
      </c>
      <c r="F146" s="38" t="s">
        <v>34</v>
      </c>
      <c r="G146" s="38" t="n">
        <v>145</v>
      </c>
      <c r="H146" s="39" t="s">
        <v>474</v>
      </c>
      <c r="I146" s="39" t="s">
        <v>36</v>
      </c>
      <c r="J146" s="39" t="s">
        <v>47</v>
      </c>
      <c r="K146" s="41" t="n">
        <f aca="false">IF(E146=TRUE(),1,0)</f>
        <v>1</v>
      </c>
      <c r="L146" s="42" t="n">
        <v>46218.3559837963</v>
      </c>
    </row>
    <row r="147" customFormat="false" ht="15" hidden="false" customHeight="true" outlineLevel="0" collapsed="false">
      <c r="A147" s="43" t="n">
        <v>146</v>
      </c>
      <c r="B147" s="44" t="s">
        <v>475</v>
      </c>
      <c r="C147" s="44" t="s">
        <v>476</v>
      </c>
      <c r="D147" s="44" t="s">
        <v>33</v>
      </c>
      <c r="E147" s="45" t="b">
        <f aca="false">TRUE()</f>
        <v>1</v>
      </c>
      <c r="F147" s="43" t="s">
        <v>34</v>
      </c>
      <c r="G147" s="43" t="n">
        <v>146</v>
      </c>
      <c r="H147" s="44" t="s">
        <v>477</v>
      </c>
      <c r="I147" s="44" t="s">
        <v>36</v>
      </c>
      <c r="J147" s="44" t="s">
        <v>37</v>
      </c>
      <c r="K147" s="46" t="n">
        <f aca="false">IF(E147=TRUE(),1,0)</f>
        <v>1</v>
      </c>
      <c r="L147" s="47" t="n">
        <v>46218.3566319444</v>
      </c>
    </row>
    <row r="148" customFormat="false" ht="15" hidden="false" customHeight="true" outlineLevel="0" collapsed="false">
      <c r="A148" s="38" t="n">
        <v>147</v>
      </c>
      <c r="B148" s="39" t="s">
        <v>478</v>
      </c>
      <c r="C148" s="39" t="s">
        <v>479</v>
      </c>
      <c r="D148" s="39" t="s">
        <v>47</v>
      </c>
      <c r="E148" s="40" t="b">
        <f aca="false">FALSE()</f>
        <v>0</v>
      </c>
      <c r="F148" s="38" t="s">
        <v>40</v>
      </c>
      <c r="G148" s="38" t="n">
        <v>147</v>
      </c>
      <c r="H148" s="39" t="s">
        <v>480</v>
      </c>
      <c r="I148" s="39" t="s">
        <v>46</v>
      </c>
      <c r="J148" s="39" t="s">
        <v>33</v>
      </c>
      <c r="K148" s="41" t="n">
        <f aca="false">IF(E148=TRUE(),1,0)</f>
        <v>0</v>
      </c>
      <c r="L148" s="39"/>
    </row>
    <row r="149" customFormat="false" ht="15" hidden="false" customHeight="true" outlineLevel="0" collapsed="false">
      <c r="A149" s="43" t="n">
        <v>148</v>
      </c>
      <c r="B149" s="44" t="s">
        <v>481</v>
      </c>
      <c r="C149" s="44" t="s">
        <v>482</v>
      </c>
      <c r="D149" s="44" t="s">
        <v>37</v>
      </c>
      <c r="E149" s="45" t="b">
        <f aca="false">TRUE()</f>
        <v>1</v>
      </c>
      <c r="F149" s="43" t="s">
        <v>34</v>
      </c>
      <c r="G149" s="43" t="n">
        <v>148</v>
      </c>
      <c r="H149" s="44" t="s">
        <v>483</v>
      </c>
      <c r="I149" s="44" t="s">
        <v>57</v>
      </c>
      <c r="J149" s="44" t="s">
        <v>37</v>
      </c>
      <c r="K149" s="46" t="n">
        <f aca="false">IF(E149=TRUE(),1,0)</f>
        <v>1</v>
      </c>
      <c r="L149" s="47" t="n">
        <v>46218.3576041667</v>
      </c>
    </row>
    <row r="150" customFormat="false" ht="15" hidden="false" customHeight="true" outlineLevel="0" collapsed="false">
      <c r="A150" s="38" t="n">
        <v>149</v>
      </c>
      <c r="B150" s="39" t="s">
        <v>484</v>
      </c>
      <c r="C150" s="39" t="s">
        <v>485</v>
      </c>
      <c r="D150" s="39" t="s">
        <v>33</v>
      </c>
      <c r="E150" s="40" t="b">
        <f aca="false">TRUE()</f>
        <v>1</v>
      </c>
      <c r="F150" s="38" t="s">
        <v>44</v>
      </c>
      <c r="G150" s="38" t="n">
        <v>149</v>
      </c>
      <c r="H150" s="39" t="s">
        <v>486</v>
      </c>
      <c r="I150" s="39" t="s">
        <v>36</v>
      </c>
      <c r="J150" s="39" t="s">
        <v>33</v>
      </c>
      <c r="K150" s="41" t="n">
        <f aca="false">IF(E150=TRUE(),1,0)</f>
        <v>1</v>
      </c>
      <c r="L150" s="42" t="n">
        <v>46218.3606134259</v>
      </c>
    </row>
    <row r="151" customFormat="false" ht="15" hidden="false" customHeight="true" outlineLevel="0" collapsed="false">
      <c r="A151" s="43" t="n">
        <v>150</v>
      </c>
      <c r="B151" s="44" t="s">
        <v>487</v>
      </c>
      <c r="C151" s="44" t="s">
        <v>488</v>
      </c>
      <c r="D151" s="44" t="s">
        <v>47</v>
      </c>
      <c r="E151" s="45" t="b">
        <f aca="false">FALSE()</f>
        <v>0</v>
      </c>
      <c r="F151" s="43" t="s">
        <v>44</v>
      </c>
      <c r="G151" s="43" t="n">
        <v>150</v>
      </c>
      <c r="H151" s="44" t="s">
        <v>489</v>
      </c>
      <c r="I151" s="44" t="s">
        <v>36</v>
      </c>
      <c r="J151" s="44" t="s">
        <v>33</v>
      </c>
      <c r="K151" s="46" t="n">
        <f aca="false">IF(E151=TRUE(),1,0)</f>
        <v>0</v>
      </c>
      <c r="L151" s="44"/>
    </row>
    <row r="152" customFormat="false" ht="15" hidden="false" customHeight="true" outlineLevel="0" collapsed="false">
      <c r="A152" s="38" t="n">
        <v>151</v>
      </c>
      <c r="B152" s="39" t="s">
        <v>490</v>
      </c>
      <c r="C152" s="39" t="s">
        <v>491</v>
      </c>
      <c r="D152" s="39" t="s">
        <v>37</v>
      </c>
      <c r="E152" s="40" t="b">
        <f aca="false">FALSE()</f>
        <v>0</v>
      </c>
      <c r="F152" s="38" t="s">
        <v>34</v>
      </c>
      <c r="G152" s="38" t="n">
        <v>151</v>
      </c>
      <c r="H152" s="39" t="s">
        <v>492</v>
      </c>
      <c r="I152" s="39" t="s">
        <v>46</v>
      </c>
      <c r="J152" s="39" t="s">
        <v>47</v>
      </c>
      <c r="K152" s="41" t="n">
        <f aca="false">IF(E152=TRUE(),1,0)</f>
        <v>0</v>
      </c>
      <c r="L152" s="39"/>
    </row>
    <row r="153" customFormat="false" ht="15" hidden="false" customHeight="true" outlineLevel="0" collapsed="false">
      <c r="A153" s="43" t="n">
        <v>152</v>
      </c>
      <c r="B153" s="44" t="s">
        <v>493</v>
      </c>
      <c r="C153" s="44" t="s">
        <v>494</v>
      </c>
      <c r="D153" s="44" t="s">
        <v>47</v>
      </c>
      <c r="E153" s="45" t="b">
        <f aca="false">FALSE()</f>
        <v>0</v>
      </c>
      <c r="F153" s="43" t="s">
        <v>44</v>
      </c>
      <c r="G153" s="43" t="n">
        <v>152</v>
      </c>
      <c r="H153" s="44" t="s">
        <v>495</v>
      </c>
      <c r="I153" s="44" t="s">
        <v>36</v>
      </c>
      <c r="J153" s="44" t="s">
        <v>37</v>
      </c>
      <c r="K153" s="46" t="n">
        <f aca="false">IF(E153=TRUE(),1,0)</f>
        <v>0</v>
      </c>
      <c r="L153" s="44"/>
    </row>
    <row r="154" customFormat="false" ht="15" hidden="false" customHeight="true" outlineLevel="0" collapsed="false">
      <c r="A154" s="38" t="n">
        <v>153</v>
      </c>
      <c r="B154" s="39" t="s">
        <v>496</v>
      </c>
      <c r="C154" s="39" t="s">
        <v>497</v>
      </c>
      <c r="D154" s="39" t="s">
        <v>47</v>
      </c>
      <c r="E154" s="40" t="b">
        <f aca="false">TRUE()</f>
        <v>1</v>
      </c>
      <c r="F154" s="38" t="s">
        <v>40</v>
      </c>
      <c r="G154" s="38" t="n">
        <v>153</v>
      </c>
      <c r="H154" s="39" t="s">
        <v>498</v>
      </c>
      <c r="I154" s="39" t="s">
        <v>57</v>
      </c>
      <c r="J154" s="39" t="s">
        <v>47</v>
      </c>
      <c r="K154" s="41" t="n">
        <f aca="false">IF(E154=TRUE(),1,0)</f>
        <v>1</v>
      </c>
      <c r="L154" s="42" t="n">
        <v>46218.3616666667</v>
      </c>
    </row>
    <row r="155" customFormat="false" ht="15" hidden="false" customHeight="true" outlineLevel="0" collapsed="false">
      <c r="A155" s="43" t="n">
        <v>154</v>
      </c>
      <c r="B155" s="44" t="s">
        <v>499</v>
      </c>
      <c r="C155" s="44" t="s">
        <v>500</v>
      </c>
      <c r="D155" s="44" t="s">
        <v>47</v>
      </c>
      <c r="E155" s="45" t="b">
        <f aca="false">FALSE()</f>
        <v>0</v>
      </c>
      <c r="F155" s="43" t="s">
        <v>44</v>
      </c>
      <c r="G155" s="43" t="n">
        <v>154</v>
      </c>
      <c r="H155" s="44" t="s">
        <v>501</v>
      </c>
      <c r="I155" s="44" t="s">
        <v>57</v>
      </c>
      <c r="J155" s="44" t="s">
        <v>37</v>
      </c>
      <c r="K155" s="46" t="n">
        <f aca="false">IF(E155=TRUE(),1,0)</f>
        <v>0</v>
      </c>
      <c r="L155" s="44"/>
    </row>
    <row r="156" customFormat="false" ht="15" hidden="false" customHeight="true" outlineLevel="0" collapsed="false">
      <c r="A156" s="38" t="n">
        <v>155</v>
      </c>
      <c r="B156" s="39" t="s">
        <v>502</v>
      </c>
      <c r="C156" s="39" t="s">
        <v>503</v>
      </c>
      <c r="D156" s="39" t="s">
        <v>33</v>
      </c>
      <c r="E156" s="40" t="b">
        <f aca="false">TRUE()</f>
        <v>1</v>
      </c>
      <c r="F156" s="38" t="s">
        <v>40</v>
      </c>
      <c r="G156" s="38" t="n">
        <v>155</v>
      </c>
      <c r="H156" s="39" t="s">
        <v>504</v>
      </c>
      <c r="I156" s="39" t="s">
        <v>36</v>
      </c>
      <c r="J156" s="39" t="s">
        <v>33</v>
      </c>
      <c r="K156" s="41" t="n">
        <f aca="false">IF(E156=TRUE(),1,0)</f>
        <v>1</v>
      </c>
      <c r="L156" s="42" t="n">
        <v>46218.3620138889</v>
      </c>
    </row>
    <row r="157" customFormat="false" ht="15" hidden="false" customHeight="true" outlineLevel="0" collapsed="false">
      <c r="A157" s="43" t="n">
        <v>156</v>
      </c>
      <c r="B157" s="44" t="s">
        <v>505</v>
      </c>
      <c r="C157" s="44" t="s">
        <v>506</v>
      </c>
      <c r="D157" s="44" t="s">
        <v>47</v>
      </c>
      <c r="E157" s="45" t="b">
        <f aca="false">FALSE()</f>
        <v>0</v>
      </c>
      <c r="F157" s="43" t="s">
        <v>44</v>
      </c>
      <c r="G157" s="43" t="n">
        <v>156</v>
      </c>
      <c r="H157" s="44" t="s">
        <v>507</v>
      </c>
      <c r="I157" s="44" t="s">
        <v>36</v>
      </c>
      <c r="J157" s="44" t="s">
        <v>47</v>
      </c>
      <c r="K157" s="46" t="n">
        <f aca="false">IF(E157=TRUE(),1,0)</f>
        <v>0</v>
      </c>
      <c r="L157" s="44"/>
    </row>
    <row r="158" customFormat="false" ht="15" hidden="false" customHeight="true" outlineLevel="0" collapsed="false">
      <c r="A158" s="38" t="n">
        <v>157</v>
      </c>
      <c r="B158" s="39" t="s">
        <v>508</v>
      </c>
      <c r="C158" s="39" t="s">
        <v>509</v>
      </c>
      <c r="D158" s="39" t="s">
        <v>37</v>
      </c>
      <c r="E158" s="40" t="b">
        <f aca="false">TRUE()</f>
        <v>1</v>
      </c>
      <c r="F158" s="38" t="s">
        <v>40</v>
      </c>
      <c r="G158" s="38" t="n">
        <v>157</v>
      </c>
      <c r="H158" s="39" t="s">
        <v>510</v>
      </c>
      <c r="I158" s="39" t="s">
        <v>36</v>
      </c>
      <c r="J158" s="39" t="s">
        <v>33</v>
      </c>
      <c r="K158" s="41" t="n">
        <f aca="false">IF(E158=TRUE(),1,0)</f>
        <v>1</v>
      </c>
      <c r="L158" s="42" t="n">
        <v>46218.3624074074</v>
      </c>
    </row>
    <row r="159" customFormat="false" ht="15" hidden="false" customHeight="true" outlineLevel="0" collapsed="false">
      <c r="A159" s="43" t="n">
        <v>158</v>
      </c>
      <c r="B159" s="44" t="s">
        <v>511</v>
      </c>
      <c r="C159" s="44" t="s">
        <v>512</v>
      </c>
      <c r="D159" s="44" t="s">
        <v>37</v>
      </c>
      <c r="E159" s="45" t="b">
        <f aca="false">TRUE()</f>
        <v>1</v>
      </c>
      <c r="F159" s="43" t="s">
        <v>34</v>
      </c>
      <c r="G159" s="43" t="n">
        <v>158</v>
      </c>
      <c r="H159" s="44" t="s">
        <v>513</v>
      </c>
      <c r="I159" s="44" t="s">
        <v>57</v>
      </c>
      <c r="J159" s="44" t="s">
        <v>47</v>
      </c>
      <c r="K159" s="46" t="n">
        <f aca="false">IF(E159=TRUE(),1,0)</f>
        <v>1</v>
      </c>
      <c r="L159" s="47" t="n">
        <v>46218.3627314815</v>
      </c>
    </row>
    <row r="160" customFormat="false" ht="15" hidden="false" customHeight="true" outlineLevel="0" collapsed="false">
      <c r="A160" s="38" t="n">
        <v>159</v>
      </c>
      <c r="B160" s="39" t="s">
        <v>514</v>
      </c>
      <c r="C160" s="39" t="s">
        <v>515</v>
      </c>
      <c r="D160" s="39" t="s">
        <v>33</v>
      </c>
      <c r="E160" s="40" t="b">
        <f aca="false">TRUE()</f>
        <v>1</v>
      </c>
      <c r="F160" s="38" t="s">
        <v>34</v>
      </c>
      <c r="G160" s="38" t="n">
        <v>159</v>
      </c>
      <c r="H160" s="39" t="s">
        <v>516</v>
      </c>
      <c r="I160" s="39" t="s">
        <v>57</v>
      </c>
      <c r="J160" s="39" t="s">
        <v>47</v>
      </c>
      <c r="K160" s="41" t="n">
        <f aca="false">IF(E160=TRUE(),1,0)</f>
        <v>1</v>
      </c>
      <c r="L160" s="42" t="n">
        <v>46218.3632060185</v>
      </c>
    </row>
    <row r="161" customFormat="false" ht="15" hidden="false" customHeight="true" outlineLevel="0" collapsed="false">
      <c r="A161" s="43" t="n">
        <v>160</v>
      </c>
      <c r="B161" s="44" t="s">
        <v>517</v>
      </c>
      <c r="C161" s="44" t="s">
        <v>518</v>
      </c>
      <c r="D161" s="44" t="s">
        <v>47</v>
      </c>
      <c r="E161" s="45" t="b">
        <f aca="false">TRUE()</f>
        <v>1</v>
      </c>
      <c r="F161" s="43" t="s">
        <v>44</v>
      </c>
      <c r="G161" s="43" t="n">
        <v>160</v>
      </c>
      <c r="H161" s="44" t="s">
        <v>519</v>
      </c>
      <c r="I161" s="44" t="s">
        <v>46</v>
      </c>
      <c r="J161" s="44" t="s">
        <v>33</v>
      </c>
      <c r="K161" s="46" t="n">
        <f aca="false">IF(E161=TRUE(),1,0)</f>
        <v>1</v>
      </c>
      <c r="L161" s="47" t="n">
        <v>46218.3650231482</v>
      </c>
    </row>
    <row r="162" customFormat="false" ht="15" hidden="false" customHeight="true" outlineLevel="0" collapsed="false">
      <c r="A162" s="38" t="n">
        <v>161</v>
      </c>
      <c r="B162" s="39" t="s">
        <v>520</v>
      </c>
      <c r="C162" s="39" t="s">
        <v>521</v>
      </c>
      <c r="D162" s="39" t="s">
        <v>37</v>
      </c>
      <c r="E162" s="40" t="b">
        <f aca="false">FALSE()</f>
        <v>0</v>
      </c>
      <c r="F162" s="38" t="s">
        <v>34</v>
      </c>
      <c r="G162" s="38" t="n">
        <v>161</v>
      </c>
      <c r="H162" s="39" t="s">
        <v>522</v>
      </c>
      <c r="I162" s="39" t="s">
        <v>36</v>
      </c>
      <c r="J162" s="39" t="s">
        <v>47</v>
      </c>
      <c r="K162" s="41" t="n">
        <f aca="false">IF(E162=TRUE(),1,0)</f>
        <v>0</v>
      </c>
      <c r="L162" s="39"/>
    </row>
    <row r="163" customFormat="false" ht="15" hidden="false" customHeight="true" outlineLevel="0" collapsed="false">
      <c r="A163" s="43" t="n">
        <v>162</v>
      </c>
      <c r="B163" s="44" t="s">
        <v>523</v>
      </c>
      <c r="C163" s="44" t="s">
        <v>524</v>
      </c>
      <c r="D163" s="44" t="s">
        <v>37</v>
      </c>
      <c r="E163" s="45" t="b">
        <f aca="false">FALSE()</f>
        <v>0</v>
      </c>
      <c r="F163" s="43" t="s">
        <v>34</v>
      </c>
      <c r="G163" s="43" t="n">
        <v>162</v>
      </c>
      <c r="H163" s="44" t="s">
        <v>525</v>
      </c>
      <c r="I163" s="44" t="s">
        <v>57</v>
      </c>
      <c r="J163" s="44" t="s">
        <v>37</v>
      </c>
      <c r="K163" s="46" t="n">
        <f aca="false">IF(E163=TRUE(),1,0)</f>
        <v>0</v>
      </c>
      <c r="L163" s="44"/>
    </row>
    <row r="164" customFormat="false" ht="15" hidden="false" customHeight="true" outlineLevel="0" collapsed="false">
      <c r="A164" s="38" t="n">
        <v>163</v>
      </c>
      <c r="B164" s="39" t="s">
        <v>526</v>
      </c>
      <c r="C164" s="39" t="s">
        <v>527</v>
      </c>
      <c r="D164" s="39" t="s">
        <v>33</v>
      </c>
      <c r="E164" s="40" t="b">
        <f aca="false">FALSE()</f>
        <v>0</v>
      </c>
      <c r="F164" s="38" t="s">
        <v>40</v>
      </c>
      <c r="G164" s="38" t="n">
        <v>163</v>
      </c>
      <c r="H164" s="39" t="s">
        <v>528</v>
      </c>
      <c r="I164" s="39" t="s">
        <v>57</v>
      </c>
      <c r="J164" s="39" t="s">
        <v>47</v>
      </c>
      <c r="K164" s="41" t="n">
        <f aca="false">IF(E164=TRUE(),1,0)</f>
        <v>0</v>
      </c>
      <c r="L164" s="39"/>
    </row>
    <row r="165" customFormat="false" ht="15" hidden="false" customHeight="true" outlineLevel="0" collapsed="false">
      <c r="A165" s="43" t="n">
        <v>164</v>
      </c>
      <c r="B165" s="44" t="s">
        <v>529</v>
      </c>
      <c r="C165" s="44" t="s">
        <v>530</v>
      </c>
      <c r="D165" s="44" t="s">
        <v>47</v>
      </c>
      <c r="E165" s="45" t="b">
        <f aca="false">FALSE()</f>
        <v>0</v>
      </c>
      <c r="F165" s="43" t="s">
        <v>44</v>
      </c>
      <c r="G165" s="43" t="n">
        <v>164</v>
      </c>
      <c r="H165" s="44" t="s">
        <v>531</v>
      </c>
      <c r="I165" s="44" t="s">
        <v>36</v>
      </c>
      <c r="J165" s="44" t="s">
        <v>33</v>
      </c>
      <c r="K165" s="46" t="n">
        <f aca="false">IF(E165=TRUE(),1,0)</f>
        <v>0</v>
      </c>
      <c r="L165" s="44"/>
    </row>
    <row r="166" customFormat="false" ht="15" hidden="false" customHeight="true" outlineLevel="0" collapsed="false">
      <c r="A166" s="38" t="n">
        <v>165</v>
      </c>
      <c r="B166" s="39" t="s">
        <v>532</v>
      </c>
      <c r="C166" s="39" t="s">
        <v>533</v>
      </c>
      <c r="D166" s="39" t="s">
        <v>37</v>
      </c>
      <c r="E166" s="40" t="b">
        <f aca="false">FALSE()</f>
        <v>0</v>
      </c>
      <c r="F166" s="38" t="s">
        <v>44</v>
      </c>
      <c r="G166" s="38" t="n">
        <v>165</v>
      </c>
      <c r="H166" s="39" t="s">
        <v>534</v>
      </c>
      <c r="I166" s="39" t="s">
        <v>46</v>
      </c>
      <c r="J166" s="39" t="s">
        <v>33</v>
      </c>
      <c r="K166" s="41" t="n">
        <f aca="false">IF(E166=TRUE(),1,0)</f>
        <v>0</v>
      </c>
      <c r="L166" s="39"/>
    </row>
    <row r="167" customFormat="false" ht="15" hidden="false" customHeight="true" outlineLevel="0" collapsed="false">
      <c r="A167" s="43" t="n">
        <v>166</v>
      </c>
      <c r="B167" s="44" t="s">
        <v>535</v>
      </c>
      <c r="C167" s="44" t="s">
        <v>536</v>
      </c>
      <c r="D167" s="44" t="s">
        <v>37</v>
      </c>
      <c r="E167" s="45" t="b">
        <f aca="false">TRUE()</f>
        <v>1</v>
      </c>
      <c r="F167" s="43" t="s">
        <v>34</v>
      </c>
      <c r="G167" s="43" t="n">
        <v>166</v>
      </c>
      <c r="H167" s="44" t="s">
        <v>537</v>
      </c>
      <c r="I167" s="44" t="s">
        <v>36</v>
      </c>
      <c r="J167" s="44" t="s">
        <v>33</v>
      </c>
      <c r="K167" s="46" t="n">
        <f aca="false">IF(E167=TRUE(),1,0)</f>
        <v>1</v>
      </c>
      <c r="L167" s="47" t="n">
        <v>46218.3651851852</v>
      </c>
    </row>
    <row r="168" customFormat="false" ht="15" hidden="false" customHeight="true" outlineLevel="0" collapsed="false">
      <c r="A168" s="38" t="n">
        <v>167</v>
      </c>
      <c r="B168" s="39" t="s">
        <v>538</v>
      </c>
      <c r="C168" s="39" t="s">
        <v>539</v>
      </c>
      <c r="D168" s="39" t="s">
        <v>33</v>
      </c>
      <c r="E168" s="40" t="b">
        <f aca="false">TRUE()</f>
        <v>1</v>
      </c>
      <c r="F168" s="38" t="s">
        <v>34</v>
      </c>
      <c r="G168" s="38" t="n">
        <v>167</v>
      </c>
      <c r="H168" s="39" t="s">
        <v>540</v>
      </c>
      <c r="I168" s="39" t="s">
        <v>57</v>
      </c>
      <c r="J168" s="39" t="s">
        <v>37</v>
      </c>
      <c r="K168" s="41" t="n">
        <f aca="false">IF(E168=TRUE(),1,0)</f>
        <v>1</v>
      </c>
      <c r="L168" s="42" t="n">
        <v>46218.3659259259</v>
      </c>
    </row>
    <row r="169" customFormat="false" ht="15" hidden="false" customHeight="true" outlineLevel="0" collapsed="false">
      <c r="A169" s="43" t="n">
        <v>168</v>
      </c>
      <c r="B169" s="44" t="s">
        <v>541</v>
      </c>
      <c r="C169" s="44" t="s">
        <v>542</v>
      </c>
      <c r="D169" s="44" t="s">
        <v>37</v>
      </c>
      <c r="E169" s="45" t="b">
        <f aca="false">TRUE()</f>
        <v>1</v>
      </c>
      <c r="F169" s="43" t="s">
        <v>34</v>
      </c>
      <c r="G169" s="43" t="n">
        <v>168</v>
      </c>
      <c r="H169" s="44" t="s">
        <v>543</v>
      </c>
      <c r="I169" s="44" t="s">
        <v>57</v>
      </c>
      <c r="J169" s="44" t="s">
        <v>47</v>
      </c>
      <c r="K169" s="46" t="n">
        <f aca="false">IF(E169=TRUE(),1,0)</f>
        <v>1</v>
      </c>
      <c r="L169" s="47" t="n">
        <v>46218.3663078704</v>
      </c>
    </row>
    <row r="170" customFormat="false" ht="15" hidden="false" customHeight="true" outlineLevel="0" collapsed="false">
      <c r="A170" s="38" t="n">
        <v>169</v>
      </c>
      <c r="B170" s="39" t="s">
        <v>544</v>
      </c>
      <c r="C170" s="39" t="s">
        <v>545</v>
      </c>
      <c r="D170" s="39" t="s">
        <v>37</v>
      </c>
      <c r="E170" s="40" t="b">
        <f aca="false">TRUE()</f>
        <v>1</v>
      </c>
      <c r="F170" s="38" t="s">
        <v>34</v>
      </c>
      <c r="G170" s="38" t="n">
        <v>169</v>
      </c>
      <c r="H170" s="39" t="s">
        <v>546</v>
      </c>
      <c r="I170" s="39" t="s">
        <v>46</v>
      </c>
      <c r="J170" s="39" t="s">
        <v>37</v>
      </c>
      <c r="K170" s="41" t="n">
        <f aca="false">IF(E170=TRUE(),1,0)</f>
        <v>1</v>
      </c>
      <c r="L170" s="42" t="n">
        <v>46218.3675</v>
      </c>
    </row>
    <row r="171" customFormat="false" ht="15" hidden="false" customHeight="true" outlineLevel="0" collapsed="false">
      <c r="A171" s="43" t="n">
        <v>170</v>
      </c>
      <c r="B171" s="44" t="s">
        <v>547</v>
      </c>
      <c r="C171" s="44" t="s">
        <v>548</v>
      </c>
      <c r="D171" s="44" t="s">
        <v>33</v>
      </c>
      <c r="E171" s="45" t="b">
        <f aca="false">TRUE()</f>
        <v>1</v>
      </c>
      <c r="F171" s="43" t="s">
        <v>44</v>
      </c>
      <c r="G171" s="43" t="n">
        <v>170</v>
      </c>
      <c r="H171" s="44" t="s">
        <v>549</v>
      </c>
      <c r="I171" s="44" t="s">
        <v>46</v>
      </c>
      <c r="J171" s="44" t="s">
        <v>37</v>
      </c>
      <c r="K171" s="46" t="n">
        <f aca="false">IF(E171=TRUE(),1,0)</f>
        <v>1</v>
      </c>
      <c r="L171" s="47" t="n">
        <v>46218.368275463</v>
      </c>
    </row>
    <row r="172" customFormat="false" ht="15" hidden="false" customHeight="true" outlineLevel="0" collapsed="false">
      <c r="A172" s="38" t="n">
        <v>171</v>
      </c>
      <c r="B172" s="39" t="s">
        <v>550</v>
      </c>
      <c r="C172" s="39" t="s">
        <v>551</v>
      </c>
      <c r="D172" s="39" t="s">
        <v>47</v>
      </c>
      <c r="E172" s="40" t="b">
        <f aca="false">TRUE()</f>
        <v>1</v>
      </c>
      <c r="F172" s="38" t="s">
        <v>34</v>
      </c>
      <c r="G172" s="38" t="n">
        <v>171</v>
      </c>
      <c r="H172" s="39" t="s">
        <v>552</v>
      </c>
      <c r="I172" s="39" t="s">
        <v>46</v>
      </c>
      <c r="J172" s="39" t="s">
        <v>37</v>
      </c>
      <c r="K172" s="41" t="n">
        <f aca="false">IF(E172=TRUE(),1,0)</f>
        <v>1</v>
      </c>
      <c r="L172" s="42" t="n">
        <v>46218.3691898148</v>
      </c>
    </row>
    <row r="173" customFormat="false" ht="15" hidden="false" customHeight="true" outlineLevel="0" collapsed="false">
      <c r="A173" s="43" t="n">
        <v>172</v>
      </c>
      <c r="B173" s="44" t="s">
        <v>553</v>
      </c>
      <c r="C173" s="44" t="s">
        <v>554</v>
      </c>
      <c r="D173" s="44" t="s">
        <v>37</v>
      </c>
      <c r="E173" s="45" t="b">
        <f aca="false">FALSE()</f>
        <v>0</v>
      </c>
      <c r="F173" s="43" t="s">
        <v>44</v>
      </c>
      <c r="G173" s="43" t="n">
        <v>172</v>
      </c>
      <c r="H173" s="44" t="s">
        <v>555</v>
      </c>
      <c r="I173" s="44" t="s">
        <v>46</v>
      </c>
      <c r="J173" s="44" t="s">
        <v>33</v>
      </c>
      <c r="K173" s="46" t="n">
        <f aca="false">IF(E173=TRUE(),1,0)</f>
        <v>0</v>
      </c>
      <c r="L173" s="44"/>
    </row>
    <row r="174" customFormat="false" ht="15" hidden="false" customHeight="true" outlineLevel="0" collapsed="false">
      <c r="A174" s="38" t="n">
        <v>173</v>
      </c>
      <c r="B174" s="39" t="s">
        <v>556</v>
      </c>
      <c r="C174" s="39" t="s">
        <v>557</v>
      </c>
      <c r="D174" s="39" t="s">
        <v>37</v>
      </c>
      <c r="E174" s="40" t="b">
        <f aca="false">TRUE()</f>
        <v>1</v>
      </c>
      <c r="F174" s="38" t="s">
        <v>34</v>
      </c>
      <c r="G174" s="38" t="n">
        <v>173</v>
      </c>
      <c r="H174" s="39" t="s">
        <v>558</v>
      </c>
      <c r="I174" s="39" t="s">
        <v>57</v>
      </c>
      <c r="J174" s="39" t="s">
        <v>33</v>
      </c>
      <c r="K174" s="41" t="n">
        <f aca="false">IF(E174=TRUE(),1,0)</f>
        <v>1</v>
      </c>
      <c r="L174" s="42" t="n">
        <v>46218.3694097222</v>
      </c>
    </row>
    <row r="175" customFormat="false" ht="15" hidden="false" customHeight="true" outlineLevel="0" collapsed="false">
      <c r="A175" s="43" t="n">
        <v>174</v>
      </c>
      <c r="B175" s="44" t="s">
        <v>559</v>
      </c>
      <c r="C175" s="44" t="s">
        <v>560</v>
      </c>
      <c r="D175" s="44" t="s">
        <v>37</v>
      </c>
      <c r="E175" s="45" t="b">
        <f aca="false">TRUE()</f>
        <v>1</v>
      </c>
      <c r="F175" s="43" t="s">
        <v>34</v>
      </c>
      <c r="G175" s="43" t="n">
        <v>174</v>
      </c>
      <c r="H175" s="44" t="s">
        <v>561</v>
      </c>
      <c r="I175" s="44" t="s">
        <v>36</v>
      </c>
      <c r="J175" s="44" t="s">
        <v>37</v>
      </c>
      <c r="K175" s="46" t="n">
        <f aca="false">IF(E175=TRUE(),1,0)</f>
        <v>1</v>
      </c>
      <c r="L175" s="47" t="n">
        <v>46218.3696296296</v>
      </c>
    </row>
    <row r="176" customFormat="false" ht="15" hidden="false" customHeight="true" outlineLevel="0" collapsed="false">
      <c r="A176" s="38" t="n">
        <v>175</v>
      </c>
      <c r="B176" s="39" t="s">
        <v>562</v>
      </c>
      <c r="C176" s="39" t="s">
        <v>563</v>
      </c>
      <c r="D176" s="39" t="s">
        <v>33</v>
      </c>
      <c r="E176" s="40" t="b">
        <f aca="false">FALSE()</f>
        <v>0</v>
      </c>
      <c r="F176" s="38" t="s">
        <v>34</v>
      </c>
      <c r="G176" s="38" t="n">
        <v>175</v>
      </c>
      <c r="H176" s="39" t="s">
        <v>564</v>
      </c>
      <c r="I176" s="39" t="s">
        <v>36</v>
      </c>
      <c r="J176" s="39" t="s">
        <v>47</v>
      </c>
      <c r="K176" s="41" t="n">
        <f aca="false">IF(E176=TRUE(),1,0)</f>
        <v>0</v>
      </c>
      <c r="L176" s="39"/>
    </row>
    <row r="177" customFormat="false" ht="15" hidden="false" customHeight="true" outlineLevel="0" collapsed="false">
      <c r="A177" s="43" t="n">
        <v>176</v>
      </c>
      <c r="B177" s="44" t="s">
        <v>565</v>
      </c>
      <c r="C177" s="44" t="s">
        <v>566</v>
      </c>
      <c r="D177" s="44" t="s">
        <v>47</v>
      </c>
      <c r="E177" s="45" t="b">
        <f aca="false">TRUE()</f>
        <v>1</v>
      </c>
      <c r="F177" s="43" t="s">
        <v>40</v>
      </c>
      <c r="G177" s="43" t="n">
        <v>176</v>
      </c>
      <c r="H177" s="44" t="s">
        <v>567</v>
      </c>
      <c r="I177" s="44" t="s">
        <v>46</v>
      </c>
      <c r="J177" s="44" t="s">
        <v>33</v>
      </c>
      <c r="K177" s="46" t="n">
        <f aca="false">IF(E177=TRUE(),1,0)</f>
        <v>1</v>
      </c>
      <c r="L177" s="47" t="n">
        <v>46218.3702314815</v>
      </c>
    </row>
    <row r="178" customFormat="false" ht="15" hidden="false" customHeight="true" outlineLevel="0" collapsed="false">
      <c r="A178" s="38" t="n">
        <v>177</v>
      </c>
      <c r="B178" s="39" t="s">
        <v>568</v>
      </c>
      <c r="C178" s="39" t="s">
        <v>569</v>
      </c>
      <c r="D178" s="39" t="s">
        <v>47</v>
      </c>
      <c r="E178" s="40" t="b">
        <f aca="false">FALSE()</f>
        <v>0</v>
      </c>
      <c r="F178" s="38" t="s">
        <v>40</v>
      </c>
      <c r="G178" s="38" t="n">
        <v>177</v>
      </c>
      <c r="H178" s="39" t="s">
        <v>570</v>
      </c>
      <c r="I178" s="39" t="s">
        <v>36</v>
      </c>
      <c r="J178" s="39" t="s">
        <v>47</v>
      </c>
      <c r="K178" s="41" t="n">
        <f aca="false">IF(E178=TRUE(),1,0)</f>
        <v>0</v>
      </c>
      <c r="L178" s="39"/>
    </row>
    <row r="179" customFormat="false" ht="15" hidden="false" customHeight="true" outlineLevel="0" collapsed="false">
      <c r="A179" s="43" t="n">
        <v>178</v>
      </c>
      <c r="B179" s="44" t="s">
        <v>571</v>
      </c>
      <c r="C179" s="44" t="s">
        <v>572</v>
      </c>
      <c r="D179" s="44" t="s">
        <v>37</v>
      </c>
      <c r="E179" s="45" t="b">
        <f aca="false">FALSE()</f>
        <v>0</v>
      </c>
      <c r="F179" s="43" t="s">
        <v>44</v>
      </c>
      <c r="G179" s="43" t="n">
        <v>178</v>
      </c>
      <c r="H179" s="44" t="s">
        <v>573</v>
      </c>
      <c r="I179" s="44" t="s">
        <v>36</v>
      </c>
      <c r="J179" s="44" t="s">
        <v>33</v>
      </c>
      <c r="K179" s="46" t="n">
        <f aca="false">IF(E179=TRUE(),1,0)</f>
        <v>0</v>
      </c>
      <c r="L179" s="44"/>
    </row>
    <row r="180" customFormat="false" ht="15" hidden="false" customHeight="true" outlineLevel="0" collapsed="false">
      <c r="A180" s="38" t="n">
        <v>179</v>
      </c>
      <c r="B180" s="39" t="s">
        <v>574</v>
      </c>
      <c r="C180" s="39" t="s">
        <v>575</v>
      </c>
      <c r="D180" s="39" t="s">
        <v>37</v>
      </c>
      <c r="E180" s="40" t="b">
        <f aca="false">FALSE()</f>
        <v>0</v>
      </c>
      <c r="F180" s="38" t="s">
        <v>44</v>
      </c>
      <c r="G180" s="38" t="n">
        <v>179</v>
      </c>
      <c r="H180" s="39" t="s">
        <v>576</v>
      </c>
      <c r="I180" s="39" t="s">
        <v>57</v>
      </c>
      <c r="J180" s="39" t="s">
        <v>47</v>
      </c>
      <c r="K180" s="41" t="n">
        <f aca="false">IF(E180=TRUE(),1,0)</f>
        <v>0</v>
      </c>
      <c r="L180" s="39"/>
    </row>
    <row r="181" customFormat="false" ht="15" hidden="false" customHeight="true" outlineLevel="0" collapsed="false">
      <c r="A181" s="43" t="n">
        <v>180</v>
      </c>
      <c r="B181" s="44" t="s">
        <v>577</v>
      </c>
      <c r="C181" s="44" t="s">
        <v>578</v>
      </c>
      <c r="D181" s="44" t="s">
        <v>37</v>
      </c>
      <c r="E181" s="45" t="b">
        <f aca="false">TRUE()</f>
        <v>1</v>
      </c>
      <c r="F181" s="43" t="s">
        <v>34</v>
      </c>
      <c r="G181" s="43" t="n">
        <v>180</v>
      </c>
      <c r="H181" s="44" t="s">
        <v>579</v>
      </c>
      <c r="I181" s="44" t="s">
        <v>46</v>
      </c>
      <c r="J181" s="44" t="s">
        <v>47</v>
      </c>
      <c r="K181" s="46" t="n">
        <f aca="false">IF(E181=TRUE(),1,0)</f>
        <v>1</v>
      </c>
      <c r="L181" s="47" t="n">
        <v>46218.3723726852</v>
      </c>
    </row>
    <row r="182" customFormat="false" ht="15" hidden="false" customHeight="true" outlineLevel="0" collapsed="false">
      <c r="A182" s="38" t="n">
        <v>181</v>
      </c>
      <c r="B182" s="39" t="s">
        <v>580</v>
      </c>
      <c r="C182" s="39" t="s">
        <v>581</v>
      </c>
      <c r="D182" s="39" t="s">
        <v>33</v>
      </c>
      <c r="E182" s="40" t="b">
        <f aca="false">TRUE()</f>
        <v>1</v>
      </c>
      <c r="F182" s="38" t="s">
        <v>44</v>
      </c>
      <c r="G182" s="38" t="n">
        <v>181</v>
      </c>
      <c r="H182" s="39" t="s">
        <v>582</v>
      </c>
      <c r="I182" s="39" t="s">
        <v>57</v>
      </c>
      <c r="J182" s="39" t="s">
        <v>33</v>
      </c>
      <c r="K182" s="41" t="n">
        <f aca="false">IF(E182=TRUE(),1,0)</f>
        <v>1</v>
      </c>
      <c r="L182" s="42" t="n">
        <v>46218.3728472222</v>
      </c>
    </row>
    <row r="183" customFormat="false" ht="15" hidden="false" customHeight="true" outlineLevel="0" collapsed="false">
      <c r="A183" s="43" t="n">
        <v>182</v>
      </c>
      <c r="B183" s="44" t="s">
        <v>583</v>
      </c>
      <c r="C183" s="44" t="s">
        <v>584</v>
      </c>
      <c r="D183" s="44" t="s">
        <v>47</v>
      </c>
      <c r="E183" s="45" t="b">
        <f aca="false">TRUE()</f>
        <v>1</v>
      </c>
      <c r="F183" s="43" t="s">
        <v>44</v>
      </c>
      <c r="G183" s="43" t="n">
        <v>182</v>
      </c>
      <c r="H183" s="44" t="s">
        <v>585</v>
      </c>
      <c r="I183" s="44" t="s">
        <v>46</v>
      </c>
      <c r="J183" s="44" t="s">
        <v>37</v>
      </c>
      <c r="K183" s="46" t="n">
        <f aca="false">IF(E183=TRUE(),1,0)</f>
        <v>1</v>
      </c>
      <c r="L183" s="47" t="n">
        <v>46218.3736574074</v>
      </c>
    </row>
    <row r="184" customFormat="false" ht="15" hidden="false" customHeight="true" outlineLevel="0" collapsed="false">
      <c r="A184" s="38" t="n">
        <v>183</v>
      </c>
      <c r="B184" s="39" t="s">
        <v>586</v>
      </c>
      <c r="C184" s="39" t="s">
        <v>587</v>
      </c>
      <c r="D184" s="39" t="s">
        <v>47</v>
      </c>
      <c r="E184" s="40" t="b">
        <f aca="false">TRUE()</f>
        <v>1</v>
      </c>
      <c r="F184" s="38" t="s">
        <v>44</v>
      </c>
      <c r="G184" s="38" t="n">
        <v>183</v>
      </c>
      <c r="H184" s="39" t="s">
        <v>588</v>
      </c>
      <c r="I184" s="39" t="s">
        <v>46</v>
      </c>
      <c r="J184" s="39" t="s">
        <v>37</v>
      </c>
      <c r="K184" s="41" t="n">
        <f aca="false">IF(E184=TRUE(),1,0)</f>
        <v>1</v>
      </c>
      <c r="L184" s="42" t="n">
        <v>46218.3738888889</v>
      </c>
    </row>
    <row r="185" customFormat="false" ht="15" hidden="false" customHeight="true" outlineLevel="0" collapsed="false">
      <c r="A185" s="43" t="n">
        <v>184</v>
      </c>
      <c r="B185" s="44" t="s">
        <v>589</v>
      </c>
      <c r="C185" s="44" t="s">
        <v>590</v>
      </c>
      <c r="D185" s="44" t="s">
        <v>37</v>
      </c>
      <c r="E185" s="45" t="b">
        <f aca="false">FALSE()</f>
        <v>0</v>
      </c>
      <c r="F185" s="43" t="s">
        <v>34</v>
      </c>
      <c r="G185" s="43" t="n">
        <v>184</v>
      </c>
      <c r="H185" s="44" t="s">
        <v>591</v>
      </c>
      <c r="I185" s="44" t="s">
        <v>57</v>
      </c>
      <c r="J185" s="44" t="s">
        <v>33</v>
      </c>
      <c r="K185" s="46" t="n">
        <f aca="false">IF(E185=TRUE(),1,0)</f>
        <v>0</v>
      </c>
      <c r="L185" s="44"/>
    </row>
    <row r="186" customFormat="false" ht="15" hidden="false" customHeight="true" outlineLevel="0" collapsed="false">
      <c r="A186" s="38" t="n">
        <v>185</v>
      </c>
      <c r="B186" s="39" t="s">
        <v>592</v>
      </c>
      <c r="C186" s="39" t="s">
        <v>593</v>
      </c>
      <c r="D186" s="39" t="s">
        <v>47</v>
      </c>
      <c r="E186" s="40" t="b">
        <f aca="false">TRUE()</f>
        <v>1</v>
      </c>
      <c r="F186" s="38" t="s">
        <v>44</v>
      </c>
      <c r="G186" s="38" t="n">
        <v>185</v>
      </c>
      <c r="H186" s="39" t="s">
        <v>594</v>
      </c>
      <c r="I186" s="39" t="s">
        <v>36</v>
      </c>
      <c r="J186" s="39" t="s">
        <v>47</v>
      </c>
      <c r="K186" s="41" t="n">
        <f aca="false">IF(E186=TRUE(),1,0)</f>
        <v>1</v>
      </c>
      <c r="L186" s="42" t="n">
        <v>46218.3745486111</v>
      </c>
    </row>
    <row r="187" customFormat="false" ht="15" hidden="false" customHeight="true" outlineLevel="0" collapsed="false">
      <c r="A187" s="43" t="n">
        <v>186</v>
      </c>
      <c r="B187" s="44" t="s">
        <v>595</v>
      </c>
      <c r="C187" s="44" t="s">
        <v>596</v>
      </c>
      <c r="D187" s="44" t="s">
        <v>47</v>
      </c>
      <c r="E187" s="45" t="b">
        <f aca="false">TRUE()</f>
        <v>1</v>
      </c>
      <c r="F187" s="43" t="s">
        <v>34</v>
      </c>
      <c r="G187" s="43" t="n">
        <v>186</v>
      </c>
      <c r="H187" s="44" t="s">
        <v>597</v>
      </c>
      <c r="I187" s="44" t="s">
        <v>46</v>
      </c>
      <c r="J187" s="44" t="s">
        <v>47</v>
      </c>
      <c r="K187" s="46" t="n">
        <f aca="false">IF(E187=TRUE(),1,0)</f>
        <v>1</v>
      </c>
      <c r="L187" s="47" t="n">
        <v>46218.3748263889</v>
      </c>
    </row>
    <row r="188" customFormat="false" ht="15" hidden="false" customHeight="true" outlineLevel="0" collapsed="false">
      <c r="A188" s="38" t="n">
        <v>187</v>
      </c>
      <c r="B188" s="39" t="s">
        <v>598</v>
      </c>
      <c r="C188" s="39" t="s">
        <v>599</v>
      </c>
      <c r="D188" s="39" t="s">
        <v>37</v>
      </c>
      <c r="E188" s="40" t="b">
        <f aca="false">FALSE()</f>
        <v>0</v>
      </c>
      <c r="F188" s="38" t="s">
        <v>34</v>
      </c>
      <c r="G188" s="38" t="n">
        <v>187</v>
      </c>
      <c r="H188" s="39" t="s">
        <v>600</v>
      </c>
      <c r="I188" s="39" t="s">
        <v>36</v>
      </c>
      <c r="J188" s="39" t="s">
        <v>37</v>
      </c>
      <c r="K188" s="41" t="n">
        <f aca="false">IF(E188=TRUE(),1,0)</f>
        <v>0</v>
      </c>
      <c r="L188" s="39"/>
    </row>
    <row r="189" customFormat="false" ht="15" hidden="false" customHeight="true" outlineLevel="0" collapsed="false">
      <c r="A189" s="43" t="n">
        <v>188</v>
      </c>
      <c r="B189" s="44" t="s">
        <v>601</v>
      </c>
      <c r="C189" s="44" t="s">
        <v>602</v>
      </c>
      <c r="D189" s="44" t="s">
        <v>33</v>
      </c>
      <c r="E189" s="45" t="b">
        <f aca="false">TRUE()</f>
        <v>1</v>
      </c>
      <c r="F189" s="43" t="s">
        <v>40</v>
      </c>
      <c r="G189" s="43" t="n">
        <v>188</v>
      </c>
      <c r="H189" s="44" t="s">
        <v>603</v>
      </c>
      <c r="I189" s="44" t="s">
        <v>57</v>
      </c>
      <c r="J189" s="44" t="s">
        <v>47</v>
      </c>
      <c r="K189" s="46" t="n">
        <f aca="false">IF(E189=TRUE(),1,0)</f>
        <v>1</v>
      </c>
      <c r="L189" s="47" t="n">
        <v>46218.3761111111</v>
      </c>
    </row>
    <row r="190" customFormat="false" ht="15" hidden="false" customHeight="true" outlineLevel="0" collapsed="false">
      <c r="A190" s="38" t="n">
        <v>189</v>
      </c>
      <c r="B190" s="39" t="s">
        <v>604</v>
      </c>
      <c r="C190" s="39" t="s">
        <v>605</v>
      </c>
      <c r="D190" s="39" t="s">
        <v>47</v>
      </c>
      <c r="E190" s="40" t="b">
        <f aca="false">TRUE()</f>
        <v>1</v>
      </c>
      <c r="F190" s="38" t="s">
        <v>44</v>
      </c>
      <c r="G190" s="38" t="n">
        <v>189</v>
      </c>
      <c r="H190" s="39" t="s">
        <v>606</v>
      </c>
      <c r="I190" s="39" t="s">
        <v>57</v>
      </c>
      <c r="J190" s="39" t="s">
        <v>33</v>
      </c>
      <c r="K190" s="41" t="n">
        <f aca="false">IF(E190=TRUE(),1,0)</f>
        <v>1</v>
      </c>
      <c r="L190" s="42" t="n">
        <v>46218.3762731482</v>
      </c>
    </row>
    <row r="191" customFormat="false" ht="15" hidden="false" customHeight="true" outlineLevel="0" collapsed="false">
      <c r="A191" s="43" t="n">
        <v>190</v>
      </c>
      <c r="B191" s="44" t="s">
        <v>607</v>
      </c>
      <c r="C191" s="44" t="s">
        <v>608</v>
      </c>
      <c r="D191" s="44" t="s">
        <v>37</v>
      </c>
      <c r="E191" s="45" t="b">
        <f aca="false">TRUE()</f>
        <v>1</v>
      </c>
      <c r="F191" s="43" t="s">
        <v>40</v>
      </c>
      <c r="G191" s="43" t="n">
        <v>190</v>
      </c>
      <c r="H191" s="44" t="s">
        <v>609</v>
      </c>
      <c r="I191" s="44" t="s">
        <v>36</v>
      </c>
      <c r="J191" s="44" t="s">
        <v>37</v>
      </c>
      <c r="K191" s="46" t="n">
        <f aca="false">IF(E191=TRUE(),1,0)</f>
        <v>1</v>
      </c>
      <c r="L191" s="47" t="n">
        <v>46218.3765162037</v>
      </c>
    </row>
    <row r="192" customFormat="false" ht="15" hidden="false" customHeight="true" outlineLevel="0" collapsed="false">
      <c r="A192" s="38" t="n">
        <v>191</v>
      </c>
      <c r="B192" s="39" t="s">
        <v>610</v>
      </c>
      <c r="C192" s="39" t="s">
        <v>611</v>
      </c>
      <c r="D192" s="39" t="s">
        <v>37</v>
      </c>
      <c r="E192" s="40" t="b">
        <f aca="false">FALSE()</f>
        <v>0</v>
      </c>
      <c r="F192" s="38" t="s">
        <v>44</v>
      </c>
      <c r="G192" s="38" t="n">
        <v>191</v>
      </c>
      <c r="H192" s="39" t="s">
        <v>612</v>
      </c>
      <c r="I192" s="39" t="s">
        <v>57</v>
      </c>
      <c r="J192" s="39" t="s">
        <v>37</v>
      </c>
      <c r="K192" s="41" t="n">
        <f aca="false">IF(E192=TRUE(),1,0)</f>
        <v>0</v>
      </c>
      <c r="L192" s="39"/>
    </row>
    <row r="193" customFormat="false" ht="15" hidden="false" customHeight="true" outlineLevel="0" collapsed="false">
      <c r="A193" s="43" t="n">
        <v>192</v>
      </c>
      <c r="B193" s="44" t="s">
        <v>613</v>
      </c>
      <c r="C193" s="44" t="s">
        <v>614</v>
      </c>
      <c r="D193" s="44" t="s">
        <v>47</v>
      </c>
      <c r="E193" s="45" t="b">
        <f aca="false">TRUE()</f>
        <v>1</v>
      </c>
      <c r="F193" s="43" t="s">
        <v>34</v>
      </c>
      <c r="G193" s="43" t="n">
        <v>192</v>
      </c>
      <c r="H193" s="44" t="s">
        <v>615</v>
      </c>
      <c r="I193" s="44" t="s">
        <v>46</v>
      </c>
      <c r="J193" s="44" t="s">
        <v>37</v>
      </c>
      <c r="K193" s="46" t="n">
        <f aca="false">IF(E193=TRUE(),1,0)</f>
        <v>1</v>
      </c>
      <c r="L193" s="47" t="n">
        <v>46218.3765162037</v>
      </c>
    </row>
    <row r="194" customFormat="false" ht="15" hidden="false" customHeight="true" outlineLevel="0" collapsed="false">
      <c r="A194" s="38" t="n">
        <v>193</v>
      </c>
      <c r="B194" s="39" t="s">
        <v>616</v>
      </c>
      <c r="C194" s="39" t="s">
        <v>617</v>
      </c>
      <c r="D194" s="39" t="s">
        <v>33</v>
      </c>
      <c r="E194" s="40" t="b">
        <f aca="false">TRUE()</f>
        <v>1</v>
      </c>
      <c r="F194" s="38" t="s">
        <v>34</v>
      </c>
      <c r="G194" s="38" t="n">
        <v>193</v>
      </c>
      <c r="H194" s="39" t="s">
        <v>618</v>
      </c>
      <c r="I194" s="39" t="s">
        <v>46</v>
      </c>
      <c r="J194" s="39" t="s">
        <v>33</v>
      </c>
      <c r="K194" s="41" t="n">
        <f aca="false">IF(E194=TRUE(),1,0)</f>
        <v>1</v>
      </c>
      <c r="L194" s="42" t="n">
        <v>46218.3785532407</v>
      </c>
    </row>
    <row r="195" customFormat="false" ht="15" hidden="false" customHeight="true" outlineLevel="0" collapsed="false">
      <c r="A195" s="43" t="n">
        <v>194</v>
      </c>
      <c r="B195" s="44" t="s">
        <v>619</v>
      </c>
      <c r="C195" s="44" t="s">
        <v>620</v>
      </c>
      <c r="D195" s="44" t="s">
        <v>37</v>
      </c>
      <c r="E195" s="45" t="b">
        <f aca="false">FALSE()</f>
        <v>0</v>
      </c>
      <c r="F195" s="43" t="s">
        <v>44</v>
      </c>
      <c r="G195" s="43" t="n">
        <v>194</v>
      </c>
      <c r="H195" s="44" t="s">
        <v>621</v>
      </c>
      <c r="I195" s="44" t="s">
        <v>46</v>
      </c>
      <c r="J195" s="44" t="s">
        <v>33</v>
      </c>
      <c r="K195" s="46" t="n">
        <f aca="false">IF(E195=TRUE(),1,0)</f>
        <v>0</v>
      </c>
      <c r="L195" s="44"/>
    </row>
    <row r="196" customFormat="false" ht="15" hidden="false" customHeight="true" outlineLevel="0" collapsed="false">
      <c r="A196" s="38" t="n">
        <v>195</v>
      </c>
      <c r="B196" s="39" t="s">
        <v>622</v>
      </c>
      <c r="C196" s="39" t="s">
        <v>623</v>
      </c>
      <c r="D196" s="39" t="s">
        <v>37</v>
      </c>
      <c r="E196" s="40" t="b">
        <f aca="false">FALSE()</f>
        <v>0</v>
      </c>
      <c r="F196" s="38" t="s">
        <v>40</v>
      </c>
      <c r="G196" s="38" t="n">
        <v>195</v>
      </c>
      <c r="H196" s="39" t="s">
        <v>624</v>
      </c>
      <c r="I196" s="39" t="s">
        <v>46</v>
      </c>
      <c r="J196" s="39" t="s">
        <v>47</v>
      </c>
      <c r="K196" s="41" t="n">
        <f aca="false">IF(E196=TRUE(),1,0)</f>
        <v>0</v>
      </c>
      <c r="L196" s="39"/>
    </row>
    <row r="197" customFormat="false" ht="15" hidden="false" customHeight="true" outlineLevel="0" collapsed="false">
      <c r="A197" s="43" t="n">
        <v>196</v>
      </c>
      <c r="B197" s="44" t="s">
        <v>625</v>
      </c>
      <c r="C197" s="44" t="s">
        <v>626</v>
      </c>
      <c r="D197" s="44" t="s">
        <v>47</v>
      </c>
      <c r="E197" s="45" t="b">
        <f aca="false">TRUE()</f>
        <v>1</v>
      </c>
      <c r="F197" s="43" t="s">
        <v>40</v>
      </c>
      <c r="G197" s="43" t="n">
        <v>196</v>
      </c>
      <c r="H197" s="44" t="s">
        <v>627</v>
      </c>
      <c r="I197" s="44" t="s">
        <v>46</v>
      </c>
      <c r="J197" s="44" t="s">
        <v>47</v>
      </c>
      <c r="K197" s="46" t="n">
        <f aca="false">IF(E197=TRUE(),1,0)</f>
        <v>1</v>
      </c>
      <c r="L197" s="47" t="n">
        <v>46218.3791550926</v>
      </c>
    </row>
    <row r="198" customFormat="false" ht="15" hidden="false" customHeight="true" outlineLevel="0" collapsed="false">
      <c r="A198" s="38" t="n">
        <v>197</v>
      </c>
      <c r="B198" s="39" t="s">
        <v>628</v>
      </c>
      <c r="C198" s="39" t="s">
        <v>629</v>
      </c>
      <c r="D198" s="39" t="s">
        <v>37</v>
      </c>
      <c r="E198" s="40" t="b">
        <f aca="false">FALSE()</f>
        <v>0</v>
      </c>
      <c r="F198" s="38" t="s">
        <v>44</v>
      </c>
      <c r="G198" s="38" t="n">
        <v>197</v>
      </c>
      <c r="H198" s="39" t="s">
        <v>630</v>
      </c>
      <c r="I198" s="39" t="s">
        <v>46</v>
      </c>
      <c r="J198" s="39" t="s">
        <v>37</v>
      </c>
      <c r="K198" s="41" t="n">
        <f aca="false">IF(E198=TRUE(),1,0)</f>
        <v>0</v>
      </c>
      <c r="L198" s="39"/>
    </row>
    <row r="199" customFormat="false" ht="15" hidden="false" customHeight="true" outlineLevel="0" collapsed="false">
      <c r="A199" s="43" t="n">
        <v>198</v>
      </c>
      <c r="B199" s="44" t="s">
        <v>631</v>
      </c>
      <c r="C199" s="44" t="s">
        <v>632</v>
      </c>
      <c r="D199" s="44" t="s">
        <v>37</v>
      </c>
      <c r="E199" s="45" t="b">
        <f aca="false">FALSE()</f>
        <v>0</v>
      </c>
      <c r="F199" s="43" t="s">
        <v>34</v>
      </c>
      <c r="G199" s="43" t="n">
        <v>198</v>
      </c>
      <c r="H199" s="44" t="s">
        <v>633</v>
      </c>
      <c r="I199" s="44" t="s">
        <v>57</v>
      </c>
      <c r="J199" s="44" t="s">
        <v>37</v>
      </c>
      <c r="K199" s="46" t="n">
        <f aca="false">IF(E199=TRUE(),1,0)</f>
        <v>0</v>
      </c>
      <c r="L199" s="44"/>
    </row>
    <row r="200" customFormat="false" ht="15" hidden="false" customHeight="true" outlineLevel="0" collapsed="false">
      <c r="A200" s="38" t="n">
        <v>199</v>
      </c>
      <c r="B200" s="39" t="s">
        <v>634</v>
      </c>
      <c r="C200" s="39" t="s">
        <v>635</v>
      </c>
      <c r="D200" s="39" t="s">
        <v>37</v>
      </c>
      <c r="E200" s="40" t="b">
        <f aca="false">TRUE()</f>
        <v>1</v>
      </c>
      <c r="F200" s="38" t="s">
        <v>44</v>
      </c>
      <c r="G200" s="38" t="n">
        <v>199</v>
      </c>
      <c r="H200" s="39" t="s">
        <v>636</v>
      </c>
      <c r="I200" s="39" t="s">
        <v>57</v>
      </c>
      <c r="J200" s="39" t="s">
        <v>47</v>
      </c>
      <c r="K200" s="41" t="n">
        <f aca="false">IF(E200=TRUE(),1,0)</f>
        <v>1</v>
      </c>
      <c r="L200" s="42" t="n">
        <v>46218.379212963</v>
      </c>
    </row>
    <row r="201" customFormat="false" ht="15" hidden="false" customHeight="true" outlineLevel="0" collapsed="false">
      <c r="A201" s="43" t="n">
        <v>200</v>
      </c>
      <c r="B201" s="44" t="s">
        <v>637</v>
      </c>
      <c r="C201" s="44" t="s">
        <v>638</v>
      </c>
      <c r="D201" s="44" t="s">
        <v>37</v>
      </c>
      <c r="E201" s="45" t="b">
        <f aca="false">FALSE()</f>
        <v>0</v>
      </c>
      <c r="F201" s="43" t="s">
        <v>40</v>
      </c>
      <c r="G201" s="43" t="n">
        <v>200</v>
      </c>
      <c r="H201" s="44" t="s">
        <v>639</v>
      </c>
      <c r="I201" s="44" t="s">
        <v>57</v>
      </c>
      <c r="J201" s="44" t="s">
        <v>47</v>
      </c>
      <c r="K201" s="46" t="n">
        <f aca="false">IF(E201=TRUE(),1,0)</f>
        <v>0</v>
      </c>
      <c r="L201" s="44"/>
    </row>
    <row r="202" customFormat="false" ht="15" hidden="false" customHeight="true" outlineLevel="0" collapsed="false">
      <c r="A202" s="38" t="n">
        <v>201</v>
      </c>
      <c r="B202" s="39" t="s">
        <v>640</v>
      </c>
      <c r="C202" s="39" t="s">
        <v>641</v>
      </c>
      <c r="D202" s="39" t="s">
        <v>37</v>
      </c>
      <c r="E202" s="40" t="b">
        <f aca="false">TRUE()</f>
        <v>1</v>
      </c>
      <c r="F202" s="38" t="s">
        <v>34</v>
      </c>
      <c r="G202" s="38" t="n">
        <v>201</v>
      </c>
      <c r="H202" s="39" t="s">
        <v>642</v>
      </c>
      <c r="I202" s="39" t="s">
        <v>57</v>
      </c>
      <c r="J202" s="39" t="s">
        <v>47</v>
      </c>
      <c r="K202" s="41" t="n">
        <f aca="false">IF(E202=TRUE(),1,0)</f>
        <v>1</v>
      </c>
      <c r="L202" s="42" t="n">
        <v>46218.379375</v>
      </c>
    </row>
    <row r="203" customFormat="false" ht="15" hidden="false" customHeight="true" outlineLevel="0" collapsed="false">
      <c r="A203" s="43" t="n">
        <v>202</v>
      </c>
      <c r="B203" s="44" t="s">
        <v>643</v>
      </c>
      <c r="C203" s="44" t="s">
        <v>644</v>
      </c>
      <c r="D203" s="44" t="s">
        <v>33</v>
      </c>
      <c r="E203" s="45" t="b">
        <f aca="false">TRUE()</f>
        <v>1</v>
      </c>
      <c r="F203" s="43" t="s">
        <v>34</v>
      </c>
      <c r="G203" s="43" t="n">
        <v>202</v>
      </c>
      <c r="H203" s="44" t="s">
        <v>645</v>
      </c>
      <c r="I203" s="44" t="s">
        <v>46</v>
      </c>
      <c r="J203" s="44" t="s">
        <v>37</v>
      </c>
      <c r="K203" s="46" t="n">
        <f aca="false">IF(E203=TRUE(),1,0)</f>
        <v>1</v>
      </c>
      <c r="L203" s="47" t="n">
        <v>46218.3825925926</v>
      </c>
    </row>
    <row r="204" customFormat="false" ht="15" hidden="false" customHeight="true" outlineLevel="0" collapsed="false">
      <c r="A204" s="38" t="n">
        <v>203</v>
      </c>
      <c r="B204" s="39" t="s">
        <v>646</v>
      </c>
      <c r="C204" s="39" t="s">
        <v>647</v>
      </c>
      <c r="D204" s="39" t="s">
        <v>37</v>
      </c>
      <c r="E204" s="40" t="b">
        <f aca="false">FALSE()</f>
        <v>0</v>
      </c>
      <c r="F204" s="38" t="s">
        <v>44</v>
      </c>
      <c r="G204" s="38" t="n">
        <v>203</v>
      </c>
      <c r="H204" s="39" t="s">
        <v>648</v>
      </c>
      <c r="I204" s="39" t="s">
        <v>36</v>
      </c>
      <c r="J204" s="39" t="s">
        <v>47</v>
      </c>
      <c r="K204" s="41" t="n">
        <f aca="false">IF(E204=TRUE(),1,0)</f>
        <v>0</v>
      </c>
      <c r="L204" s="39"/>
    </row>
    <row r="205" customFormat="false" ht="15" hidden="false" customHeight="true" outlineLevel="0" collapsed="false">
      <c r="A205" s="43" t="n">
        <v>204</v>
      </c>
      <c r="B205" s="44" t="s">
        <v>649</v>
      </c>
      <c r="C205" s="44" t="s">
        <v>650</v>
      </c>
      <c r="D205" s="44" t="s">
        <v>37</v>
      </c>
      <c r="E205" s="45" t="b">
        <f aca="false">TRUE()</f>
        <v>1</v>
      </c>
      <c r="F205" s="43" t="s">
        <v>44</v>
      </c>
      <c r="G205" s="43" t="n">
        <v>204</v>
      </c>
      <c r="H205" s="44" t="s">
        <v>651</v>
      </c>
      <c r="I205" s="44" t="s">
        <v>36</v>
      </c>
      <c r="J205" s="44" t="s">
        <v>33</v>
      </c>
      <c r="K205" s="46" t="n">
        <f aca="false">IF(E205=TRUE(),1,0)</f>
        <v>1</v>
      </c>
      <c r="L205" s="47" t="n">
        <v>46218.3834490741</v>
      </c>
    </row>
    <row r="206" customFormat="false" ht="15" hidden="false" customHeight="true" outlineLevel="0" collapsed="false">
      <c r="A206" s="38" t="n">
        <v>205</v>
      </c>
      <c r="B206" s="39" t="s">
        <v>652</v>
      </c>
      <c r="C206" s="39" t="s">
        <v>653</v>
      </c>
      <c r="D206" s="39" t="s">
        <v>33</v>
      </c>
      <c r="E206" s="40" t="b">
        <f aca="false">TRUE()</f>
        <v>1</v>
      </c>
      <c r="F206" s="38" t="s">
        <v>40</v>
      </c>
      <c r="G206" s="38" t="n">
        <v>205</v>
      </c>
      <c r="H206" s="39" t="s">
        <v>654</v>
      </c>
      <c r="I206" s="39" t="s">
        <v>46</v>
      </c>
      <c r="J206" s="39" t="s">
        <v>47</v>
      </c>
      <c r="K206" s="41" t="n">
        <f aca="false">IF(E206=TRUE(),1,0)</f>
        <v>1</v>
      </c>
      <c r="L206" s="42" t="n">
        <v>46218.3861921296</v>
      </c>
    </row>
    <row r="207" customFormat="false" ht="15" hidden="false" customHeight="true" outlineLevel="0" collapsed="false">
      <c r="A207" s="43" t="n">
        <v>206</v>
      </c>
      <c r="B207" s="44" t="s">
        <v>655</v>
      </c>
      <c r="C207" s="44" t="s">
        <v>656</v>
      </c>
      <c r="D207" s="44" t="s">
        <v>37</v>
      </c>
      <c r="E207" s="45" t="b">
        <f aca="false">FALSE()</f>
        <v>0</v>
      </c>
      <c r="F207" s="43" t="s">
        <v>44</v>
      </c>
      <c r="G207" s="43" t="n">
        <v>206</v>
      </c>
      <c r="H207" s="44" t="s">
        <v>657</v>
      </c>
      <c r="I207" s="44" t="s">
        <v>46</v>
      </c>
      <c r="J207" s="44" t="s">
        <v>47</v>
      </c>
      <c r="K207" s="46" t="n">
        <f aca="false">IF(E207=TRUE(),1,0)</f>
        <v>0</v>
      </c>
      <c r="L207" s="44"/>
    </row>
    <row r="208" customFormat="false" ht="15" hidden="false" customHeight="true" outlineLevel="0" collapsed="false">
      <c r="A208" s="38" t="n">
        <v>207</v>
      </c>
      <c r="B208" s="39" t="s">
        <v>658</v>
      </c>
      <c r="C208" s="39" t="s">
        <v>659</v>
      </c>
      <c r="D208" s="39" t="s">
        <v>47</v>
      </c>
      <c r="E208" s="40" t="b">
        <f aca="false">TRUE()</f>
        <v>1</v>
      </c>
      <c r="F208" s="38" t="s">
        <v>44</v>
      </c>
      <c r="G208" s="38" t="n">
        <v>207</v>
      </c>
      <c r="H208" s="39" t="s">
        <v>660</v>
      </c>
      <c r="I208" s="39" t="s">
        <v>36</v>
      </c>
      <c r="J208" s="39" t="s">
        <v>33</v>
      </c>
      <c r="K208" s="41" t="n">
        <f aca="false">IF(E208=TRUE(),1,0)</f>
        <v>1</v>
      </c>
      <c r="L208" s="42" t="n">
        <v>46218.3863425926</v>
      </c>
    </row>
    <row r="209" customFormat="false" ht="15" hidden="false" customHeight="true" outlineLevel="0" collapsed="false">
      <c r="A209" s="43" t="n">
        <v>208</v>
      </c>
      <c r="B209" s="44" t="s">
        <v>661</v>
      </c>
      <c r="C209" s="44" t="s">
        <v>662</v>
      </c>
      <c r="D209" s="44" t="s">
        <v>47</v>
      </c>
      <c r="E209" s="45" t="b">
        <f aca="false">FALSE()</f>
        <v>0</v>
      </c>
      <c r="F209" s="43" t="s">
        <v>34</v>
      </c>
      <c r="G209" s="43" t="n">
        <v>208</v>
      </c>
      <c r="H209" s="44" t="s">
        <v>663</v>
      </c>
      <c r="I209" s="44" t="s">
        <v>57</v>
      </c>
      <c r="J209" s="44" t="s">
        <v>47</v>
      </c>
      <c r="K209" s="46" t="n">
        <f aca="false">IF(E209=TRUE(),1,0)</f>
        <v>0</v>
      </c>
      <c r="L209" s="44"/>
    </row>
    <row r="210" customFormat="false" ht="15" hidden="false" customHeight="true" outlineLevel="0" collapsed="false">
      <c r="A210" s="38" t="n">
        <v>209</v>
      </c>
      <c r="B210" s="39" t="s">
        <v>664</v>
      </c>
      <c r="C210" s="39" t="s">
        <v>665</v>
      </c>
      <c r="D210" s="39" t="s">
        <v>33</v>
      </c>
      <c r="E210" s="40" t="b">
        <f aca="false">FALSE()</f>
        <v>0</v>
      </c>
      <c r="F210" s="38" t="s">
        <v>40</v>
      </c>
      <c r="G210" s="38" t="n">
        <v>209</v>
      </c>
      <c r="H210" s="39" t="s">
        <v>666</v>
      </c>
      <c r="I210" s="39" t="s">
        <v>46</v>
      </c>
      <c r="J210" s="39" t="s">
        <v>37</v>
      </c>
      <c r="K210" s="41" t="n">
        <f aca="false">IF(E210=TRUE(),1,0)</f>
        <v>0</v>
      </c>
      <c r="L210" s="39"/>
    </row>
    <row r="211" customFormat="false" ht="15" hidden="false" customHeight="true" outlineLevel="0" collapsed="false">
      <c r="A211" s="43" t="n">
        <v>210</v>
      </c>
      <c r="B211" s="44" t="s">
        <v>667</v>
      </c>
      <c r="C211" s="44" t="s">
        <v>668</v>
      </c>
      <c r="D211" s="44" t="s">
        <v>47</v>
      </c>
      <c r="E211" s="45" t="b">
        <f aca="false">FALSE()</f>
        <v>0</v>
      </c>
      <c r="F211" s="43" t="s">
        <v>40</v>
      </c>
      <c r="G211" s="43" t="n">
        <v>210</v>
      </c>
      <c r="H211" s="44" t="s">
        <v>669</v>
      </c>
      <c r="I211" s="44" t="s">
        <v>46</v>
      </c>
      <c r="J211" s="44" t="s">
        <v>47</v>
      </c>
      <c r="K211" s="46" t="n">
        <f aca="false">IF(E211=TRUE(),1,0)</f>
        <v>0</v>
      </c>
      <c r="L211" s="44"/>
    </row>
    <row r="212" customFormat="false" ht="15" hidden="false" customHeight="true" outlineLevel="0" collapsed="false">
      <c r="A212" s="38" t="n">
        <v>211</v>
      </c>
      <c r="B212" s="39" t="s">
        <v>670</v>
      </c>
      <c r="C212" s="39" t="s">
        <v>671</v>
      </c>
      <c r="D212" s="39" t="s">
        <v>33</v>
      </c>
      <c r="E212" s="40" t="b">
        <f aca="false">FALSE()</f>
        <v>0</v>
      </c>
      <c r="F212" s="38" t="s">
        <v>34</v>
      </c>
      <c r="G212" s="38" t="n">
        <v>211</v>
      </c>
      <c r="H212" s="39" t="s">
        <v>672</v>
      </c>
      <c r="I212" s="39" t="s">
        <v>36</v>
      </c>
      <c r="J212" s="39" t="s">
        <v>47</v>
      </c>
      <c r="K212" s="41" t="n">
        <f aca="false">IF(E212=TRUE(),1,0)</f>
        <v>0</v>
      </c>
      <c r="L212" s="39"/>
    </row>
    <row r="213" customFormat="false" ht="15" hidden="false" customHeight="true" outlineLevel="0" collapsed="false">
      <c r="A213" s="43" t="n">
        <v>212</v>
      </c>
      <c r="B213" s="44" t="s">
        <v>673</v>
      </c>
      <c r="C213" s="44" t="s">
        <v>674</v>
      </c>
      <c r="D213" s="44" t="s">
        <v>47</v>
      </c>
      <c r="E213" s="45" t="b">
        <f aca="false">FALSE()</f>
        <v>0</v>
      </c>
      <c r="F213" s="43" t="s">
        <v>40</v>
      </c>
      <c r="G213" s="43" t="n">
        <v>212</v>
      </c>
      <c r="H213" s="44" t="s">
        <v>675</v>
      </c>
      <c r="I213" s="44" t="s">
        <v>57</v>
      </c>
      <c r="J213" s="44" t="s">
        <v>47</v>
      </c>
      <c r="K213" s="46" t="n">
        <f aca="false">IF(E213=TRUE(),1,0)</f>
        <v>0</v>
      </c>
      <c r="L213" s="44"/>
    </row>
    <row r="214" customFormat="false" ht="15" hidden="false" customHeight="true" outlineLevel="0" collapsed="false">
      <c r="A214" s="38" t="n">
        <v>213</v>
      </c>
      <c r="B214" s="39" t="s">
        <v>676</v>
      </c>
      <c r="C214" s="39" t="s">
        <v>677</v>
      </c>
      <c r="D214" s="39" t="s">
        <v>33</v>
      </c>
      <c r="E214" s="40" t="b">
        <f aca="false">TRUE()</f>
        <v>1</v>
      </c>
      <c r="F214" s="38" t="s">
        <v>34</v>
      </c>
      <c r="G214" s="38" t="n">
        <v>213</v>
      </c>
      <c r="H214" s="39" t="s">
        <v>678</v>
      </c>
      <c r="I214" s="39" t="s">
        <v>36</v>
      </c>
      <c r="J214" s="39" t="s">
        <v>33</v>
      </c>
      <c r="K214" s="41" t="n">
        <f aca="false">IF(E214=TRUE(),1,0)</f>
        <v>1</v>
      </c>
      <c r="L214" s="42" t="n">
        <v>46218.3870486111</v>
      </c>
    </row>
    <row r="215" customFormat="false" ht="15" hidden="false" customHeight="true" outlineLevel="0" collapsed="false">
      <c r="A215" s="43" t="n">
        <v>214</v>
      </c>
      <c r="B215" s="44" t="s">
        <v>679</v>
      </c>
      <c r="C215" s="44" t="s">
        <v>680</v>
      </c>
      <c r="D215" s="44" t="s">
        <v>33</v>
      </c>
      <c r="E215" s="45" t="b">
        <f aca="false">TRUE()</f>
        <v>1</v>
      </c>
      <c r="F215" s="43" t="s">
        <v>44</v>
      </c>
      <c r="G215" s="43" t="n">
        <v>214</v>
      </c>
      <c r="H215" s="44" t="s">
        <v>681</v>
      </c>
      <c r="I215" s="44" t="s">
        <v>46</v>
      </c>
      <c r="J215" s="44" t="s">
        <v>33</v>
      </c>
      <c r="K215" s="46" t="n">
        <f aca="false">IF(E215=TRUE(),1,0)</f>
        <v>1</v>
      </c>
      <c r="L215" s="47" t="n">
        <v>46218.3882060185</v>
      </c>
    </row>
    <row r="216" customFormat="false" ht="15" hidden="false" customHeight="true" outlineLevel="0" collapsed="false">
      <c r="A216" s="38" t="n">
        <v>215</v>
      </c>
      <c r="B216" s="39" t="s">
        <v>682</v>
      </c>
      <c r="C216" s="39" t="s">
        <v>683</v>
      </c>
      <c r="D216" s="39" t="s">
        <v>47</v>
      </c>
      <c r="E216" s="40" t="b">
        <f aca="false">TRUE()</f>
        <v>1</v>
      </c>
      <c r="F216" s="38" t="s">
        <v>34</v>
      </c>
      <c r="G216" s="38" t="n">
        <v>215</v>
      </c>
      <c r="H216" s="39" t="s">
        <v>684</v>
      </c>
      <c r="I216" s="39" t="s">
        <v>46</v>
      </c>
      <c r="J216" s="39" t="s">
        <v>33</v>
      </c>
      <c r="K216" s="41" t="n">
        <f aca="false">IF(E216=TRUE(),1,0)</f>
        <v>1</v>
      </c>
      <c r="L216" s="42" t="n">
        <v>46218.3883333333</v>
      </c>
    </row>
    <row r="217" customFormat="false" ht="15" hidden="false" customHeight="true" outlineLevel="0" collapsed="false">
      <c r="A217" s="43" t="n">
        <v>216</v>
      </c>
      <c r="B217" s="44" t="s">
        <v>685</v>
      </c>
      <c r="C217" s="44" t="s">
        <v>686</v>
      </c>
      <c r="D217" s="44" t="s">
        <v>47</v>
      </c>
      <c r="E217" s="45" t="b">
        <f aca="false">FALSE()</f>
        <v>0</v>
      </c>
      <c r="F217" s="43" t="s">
        <v>34</v>
      </c>
      <c r="G217" s="43" t="n">
        <v>216</v>
      </c>
      <c r="H217" s="44" t="s">
        <v>687</v>
      </c>
      <c r="I217" s="44" t="s">
        <v>46</v>
      </c>
      <c r="J217" s="44" t="s">
        <v>33</v>
      </c>
      <c r="K217" s="46" t="n">
        <f aca="false">IF(E217=TRUE(),1,0)</f>
        <v>0</v>
      </c>
      <c r="L217" s="44"/>
    </row>
    <row r="218" customFormat="false" ht="15" hidden="false" customHeight="true" outlineLevel="0" collapsed="false">
      <c r="A218" s="38" t="n">
        <v>217</v>
      </c>
      <c r="B218" s="39" t="s">
        <v>688</v>
      </c>
      <c r="C218" s="39" t="s">
        <v>689</v>
      </c>
      <c r="D218" s="39" t="s">
        <v>33</v>
      </c>
      <c r="E218" s="40" t="b">
        <f aca="false">TRUE()</f>
        <v>1</v>
      </c>
      <c r="F218" s="38" t="s">
        <v>44</v>
      </c>
      <c r="G218" s="38" t="n">
        <v>217</v>
      </c>
      <c r="H218" s="39" t="s">
        <v>690</v>
      </c>
      <c r="I218" s="39" t="s">
        <v>46</v>
      </c>
      <c r="J218" s="39" t="s">
        <v>33</v>
      </c>
      <c r="K218" s="41" t="n">
        <f aca="false">IF(E218=TRUE(),1,0)</f>
        <v>1</v>
      </c>
      <c r="L218" s="42" t="n">
        <v>46218.3890509259</v>
      </c>
    </row>
    <row r="219" customFormat="false" ht="15" hidden="false" customHeight="true" outlineLevel="0" collapsed="false">
      <c r="A219" s="43" t="n">
        <v>218</v>
      </c>
      <c r="B219" s="44" t="s">
        <v>691</v>
      </c>
      <c r="C219" s="44" t="s">
        <v>692</v>
      </c>
      <c r="D219" s="44" t="s">
        <v>33</v>
      </c>
      <c r="E219" s="45" t="b">
        <f aca="false">FALSE()</f>
        <v>0</v>
      </c>
      <c r="F219" s="43" t="s">
        <v>44</v>
      </c>
      <c r="G219" s="43" t="n">
        <v>218</v>
      </c>
      <c r="H219" s="44" t="s">
        <v>693</v>
      </c>
      <c r="I219" s="44" t="s">
        <v>46</v>
      </c>
      <c r="J219" s="44" t="s">
        <v>37</v>
      </c>
      <c r="K219" s="46" t="n">
        <f aca="false">IF(E219=TRUE(),1,0)</f>
        <v>0</v>
      </c>
      <c r="L219" s="44"/>
    </row>
    <row r="220" customFormat="false" ht="15" hidden="false" customHeight="true" outlineLevel="0" collapsed="false">
      <c r="A220" s="38" t="n">
        <v>219</v>
      </c>
      <c r="B220" s="39" t="s">
        <v>694</v>
      </c>
      <c r="C220" s="39" t="s">
        <v>695</v>
      </c>
      <c r="D220" s="39" t="s">
        <v>33</v>
      </c>
      <c r="E220" s="40" t="b">
        <f aca="false">TRUE()</f>
        <v>1</v>
      </c>
      <c r="F220" s="38" t="s">
        <v>44</v>
      </c>
      <c r="G220" s="38" t="n">
        <v>219</v>
      </c>
      <c r="H220" s="39" t="s">
        <v>696</v>
      </c>
      <c r="I220" s="39" t="s">
        <v>57</v>
      </c>
      <c r="J220" s="39" t="s">
        <v>33</v>
      </c>
      <c r="K220" s="41" t="n">
        <f aca="false">IF(E220=TRUE(),1,0)</f>
        <v>1</v>
      </c>
      <c r="L220" s="42" t="n">
        <v>46218.3908912037</v>
      </c>
    </row>
    <row r="221" customFormat="false" ht="15" hidden="false" customHeight="true" outlineLevel="0" collapsed="false">
      <c r="A221" s="43" t="n">
        <v>220</v>
      </c>
      <c r="B221" s="44" t="s">
        <v>697</v>
      </c>
      <c r="C221" s="44" t="s">
        <v>698</v>
      </c>
      <c r="D221" s="44" t="s">
        <v>47</v>
      </c>
      <c r="E221" s="45" t="b">
        <f aca="false">FALSE()</f>
        <v>0</v>
      </c>
      <c r="F221" s="43" t="s">
        <v>40</v>
      </c>
      <c r="G221" s="43" t="n">
        <v>220</v>
      </c>
      <c r="H221" s="44" t="s">
        <v>699</v>
      </c>
      <c r="I221" s="44" t="s">
        <v>46</v>
      </c>
      <c r="J221" s="44" t="s">
        <v>33</v>
      </c>
      <c r="K221" s="46" t="n">
        <f aca="false">IF(E221=TRUE(),1,0)</f>
        <v>0</v>
      </c>
      <c r="L221" s="44"/>
    </row>
    <row r="222" customFormat="false" ht="15" hidden="false" customHeight="true" outlineLevel="0" collapsed="false">
      <c r="A222" s="38" t="n">
        <v>221</v>
      </c>
      <c r="B222" s="39" t="s">
        <v>700</v>
      </c>
      <c r="C222" s="39" t="s">
        <v>701</v>
      </c>
      <c r="D222" s="39" t="s">
        <v>47</v>
      </c>
      <c r="E222" s="40" t="b">
        <f aca="false">FALSE()</f>
        <v>0</v>
      </c>
      <c r="F222" s="38" t="s">
        <v>34</v>
      </c>
      <c r="G222" s="38" t="n">
        <v>221</v>
      </c>
      <c r="H222" s="39" t="s">
        <v>702</v>
      </c>
      <c r="I222" s="39" t="s">
        <v>46</v>
      </c>
      <c r="J222" s="39" t="s">
        <v>37</v>
      </c>
      <c r="K222" s="41" t="n">
        <f aca="false">IF(E222=TRUE(),1,0)</f>
        <v>0</v>
      </c>
      <c r="L222" s="39"/>
    </row>
    <row r="223" customFormat="false" ht="15" hidden="false" customHeight="true" outlineLevel="0" collapsed="false">
      <c r="A223" s="43" t="n">
        <v>222</v>
      </c>
      <c r="B223" s="44" t="s">
        <v>703</v>
      </c>
      <c r="C223" s="44" t="s">
        <v>704</v>
      </c>
      <c r="D223" s="44" t="s">
        <v>33</v>
      </c>
      <c r="E223" s="45" t="b">
        <f aca="false">TRUE()</f>
        <v>1</v>
      </c>
      <c r="F223" s="43" t="s">
        <v>44</v>
      </c>
      <c r="G223" s="43" t="n">
        <v>222</v>
      </c>
      <c r="H223" s="44" t="s">
        <v>705</v>
      </c>
      <c r="I223" s="44" t="s">
        <v>36</v>
      </c>
      <c r="J223" s="44" t="s">
        <v>47</v>
      </c>
      <c r="K223" s="46" t="n">
        <f aca="false">IF(E223=TRUE(),1,0)</f>
        <v>1</v>
      </c>
      <c r="L223" s="47" t="n">
        <v>46218.3909375</v>
      </c>
    </row>
    <row r="224" customFormat="false" ht="15" hidden="false" customHeight="true" outlineLevel="0" collapsed="false">
      <c r="A224" s="38" t="n">
        <v>223</v>
      </c>
      <c r="B224" s="39" t="s">
        <v>706</v>
      </c>
      <c r="C224" s="39" t="s">
        <v>707</v>
      </c>
      <c r="D224" s="39" t="s">
        <v>37</v>
      </c>
      <c r="E224" s="40" t="b">
        <f aca="false">FALSE()</f>
        <v>0</v>
      </c>
      <c r="F224" s="38" t="s">
        <v>40</v>
      </c>
      <c r="G224" s="38" t="n">
        <v>223</v>
      </c>
      <c r="H224" s="39" t="s">
        <v>708</v>
      </c>
      <c r="I224" s="39" t="s">
        <v>46</v>
      </c>
      <c r="J224" s="39" t="s">
        <v>37</v>
      </c>
      <c r="K224" s="41" t="n">
        <f aca="false">IF(E224=TRUE(),1,0)</f>
        <v>0</v>
      </c>
      <c r="L224" s="39"/>
    </row>
    <row r="225" customFormat="false" ht="15" hidden="false" customHeight="true" outlineLevel="0" collapsed="false">
      <c r="A225" s="43" t="n">
        <v>224</v>
      </c>
      <c r="B225" s="44" t="s">
        <v>709</v>
      </c>
      <c r="C225" s="44" t="s">
        <v>710</v>
      </c>
      <c r="D225" s="44" t="s">
        <v>33</v>
      </c>
      <c r="E225" s="45" t="b">
        <f aca="false">FALSE()</f>
        <v>0</v>
      </c>
      <c r="F225" s="43" t="s">
        <v>40</v>
      </c>
      <c r="G225" s="43" t="n">
        <v>224</v>
      </c>
      <c r="H225" s="44" t="s">
        <v>711</v>
      </c>
      <c r="I225" s="44" t="s">
        <v>57</v>
      </c>
      <c r="J225" s="44" t="s">
        <v>37</v>
      </c>
      <c r="K225" s="46" t="n">
        <f aca="false">IF(E225=TRUE(),1,0)</f>
        <v>0</v>
      </c>
      <c r="L225" s="44"/>
    </row>
    <row r="226" customFormat="false" ht="15" hidden="false" customHeight="true" outlineLevel="0" collapsed="false">
      <c r="A226" s="38" t="n">
        <v>225</v>
      </c>
      <c r="B226" s="39" t="s">
        <v>712</v>
      </c>
      <c r="C226" s="39" t="s">
        <v>713</v>
      </c>
      <c r="D226" s="39" t="s">
        <v>47</v>
      </c>
      <c r="E226" s="40" t="b">
        <f aca="false">FALSE()</f>
        <v>0</v>
      </c>
      <c r="F226" s="38" t="s">
        <v>44</v>
      </c>
      <c r="G226" s="38" t="n">
        <v>225</v>
      </c>
      <c r="H226" s="39" t="s">
        <v>714</v>
      </c>
      <c r="I226" s="39" t="s">
        <v>46</v>
      </c>
      <c r="J226" s="39" t="s">
        <v>37</v>
      </c>
      <c r="K226" s="41" t="n">
        <f aca="false">IF(E226=TRUE(),1,0)</f>
        <v>0</v>
      </c>
      <c r="L226" s="39"/>
    </row>
    <row r="227" customFormat="false" ht="15" hidden="false" customHeight="true" outlineLevel="0" collapsed="false">
      <c r="A227" s="43" t="n">
        <v>226</v>
      </c>
      <c r="B227" s="44" t="s">
        <v>715</v>
      </c>
      <c r="C227" s="44" t="s">
        <v>716</v>
      </c>
      <c r="D227" s="44" t="s">
        <v>37</v>
      </c>
      <c r="E227" s="45" t="b">
        <f aca="false">FALSE()</f>
        <v>0</v>
      </c>
      <c r="F227" s="43" t="s">
        <v>34</v>
      </c>
      <c r="G227" s="43" t="n">
        <v>226</v>
      </c>
      <c r="H227" s="44" t="s">
        <v>717</v>
      </c>
      <c r="I227" s="44" t="s">
        <v>36</v>
      </c>
      <c r="J227" s="44" t="s">
        <v>37</v>
      </c>
      <c r="K227" s="46" t="n">
        <f aca="false">IF(E227=TRUE(),1,0)</f>
        <v>0</v>
      </c>
      <c r="L227" s="44"/>
    </row>
    <row r="228" customFormat="false" ht="15" hidden="false" customHeight="true" outlineLevel="0" collapsed="false">
      <c r="A228" s="38" t="n">
        <v>227</v>
      </c>
      <c r="B228" s="39" t="s">
        <v>718</v>
      </c>
      <c r="C228" s="39" t="s">
        <v>719</v>
      </c>
      <c r="D228" s="39" t="s">
        <v>47</v>
      </c>
      <c r="E228" s="40" t="b">
        <f aca="false">TRUE()</f>
        <v>1</v>
      </c>
      <c r="F228" s="38" t="s">
        <v>34</v>
      </c>
      <c r="G228" s="38" t="n">
        <v>227</v>
      </c>
      <c r="H228" s="39" t="s">
        <v>720</v>
      </c>
      <c r="I228" s="39" t="s">
        <v>57</v>
      </c>
      <c r="J228" s="39" t="s">
        <v>33</v>
      </c>
      <c r="K228" s="41" t="n">
        <f aca="false">IF(E228=TRUE(),1,0)</f>
        <v>1</v>
      </c>
      <c r="L228" s="42" t="n">
        <v>46218.392025463</v>
      </c>
    </row>
    <row r="229" customFormat="false" ht="15" hidden="false" customHeight="true" outlineLevel="0" collapsed="false">
      <c r="A229" s="43" t="n">
        <v>228</v>
      </c>
      <c r="B229" s="44" t="s">
        <v>721</v>
      </c>
      <c r="C229" s="44" t="s">
        <v>722</v>
      </c>
      <c r="D229" s="44" t="s">
        <v>37</v>
      </c>
      <c r="E229" s="45" t="b">
        <f aca="false">FALSE()</f>
        <v>0</v>
      </c>
      <c r="F229" s="43" t="s">
        <v>40</v>
      </c>
      <c r="G229" s="43" t="n">
        <v>228</v>
      </c>
      <c r="H229" s="44" t="s">
        <v>723</v>
      </c>
      <c r="I229" s="44" t="s">
        <v>46</v>
      </c>
      <c r="J229" s="44" t="s">
        <v>47</v>
      </c>
      <c r="K229" s="46" t="n">
        <f aca="false">IF(E229=TRUE(),1,0)</f>
        <v>0</v>
      </c>
      <c r="L229" s="44"/>
    </row>
    <row r="230" customFormat="false" ht="15" hidden="false" customHeight="true" outlineLevel="0" collapsed="false">
      <c r="A230" s="38" t="n">
        <v>229</v>
      </c>
      <c r="B230" s="39" t="s">
        <v>724</v>
      </c>
      <c r="C230" s="39" t="s">
        <v>725</v>
      </c>
      <c r="D230" s="39" t="s">
        <v>33</v>
      </c>
      <c r="E230" s="40" t="b">
        <f aca="false">TRUE()</f>
        <v>1</v>
      </c>
      <c r="F230" s="38" t="s">
        <v>34</v>
      </c>
      <c r="G230" s="38" t="n">
        <v>229</v>
      </c>
      <c r="H230" s="39" t="s">
        <v>726</v>
      </c>
      <c r="I230" s="39" t="s">
        <v>46</v>
      </c>
      <c r="J230" s="39" t="s">
        <v>33</v>
      </c>
      <c r="K230" s="41" t="n">
        <f aca="false">IF(E230=TRUE(),1,0)</f>
        <v>1</v>
      </c>
      <c r="L230" s="42" t="n">
        <v>46218.3921296296</v>
      </c>
    </row>
    <row r="231" customFormat="false" ht="15" hidden="false" customHeight="true" outlineLevel="0" collapsed="false">
      <c r="A231" s="43" t="n">
        <v>230</v>
      </c>
      <c r="B231" s="44" t="s">
        <v>727</v>
      </c>
      <c r="C231" s="44" t="s">
        <v>728</v>
      </c>
      <c r="D231" s="44" t="s">
        <v>47</v>
      </c>
      <c r="E231" s="45" t="b">
        <f aca="false">FALSE()</f>
        <v>0</v>
      </c>
      <c r="F231" s="43" t="s">
        <v>34</v>
      </c>
      <c r="G231" s="43" t="n">
        <v>230</v>
      </c>
      <c r="H231" s="44" t="s">
        <v>729</v>
      </c>
      <c r="I231" s="44" t="s">
        <v>57</v>
      </c>
      <c r="J231" s="44" t="s">
        <v>47</v>
      </c>
      <c r="K231" s="46" t="n">
        <f aca="false">IF(E231=TRUE(),1,0)</f>
        <v>0</v>
      </c>
      <c r="L231" s="44"/>
    </row>
    <row r="232" customFormat="false" ht="15" hidden="false" customHeight="true" outlineLevel="0" collapsed="false">
      <c r="A232" s="38" t="n">
        <v>231</v>
      </c>
      <c r="B232" s="39" t="s">
        <v>730</v>
      </c>
      <c r="C232" s="39" t="s">
        <v>731</v>
      </c>
      <c r="D232" s="39" t="s">
        <v>33</v>
      </c>
      <c r="E232" s="40" t="b">
        <f aca="false">TRUE()</f>
        <v>1</v>
      </c>
      <c r="F232" s="38" t="s">
        <v>44</v>
      </c>
      <c r="G232" s="38" t="n">
        <v>231</v>
      </c>
      <c r="H232" s="39" t="s">
        <v>732</v>
      </c>
      <c r="I232" s="39" t="s">
        <v>46</v>
      </c>
      <c r="J232" s="39" t="s">
        <v>47</v>
      </c>
      <c r="K232" s="41" t="n">
        <f aca="false">IF(E232=TRUE(),1,0)</f>
        <v>1</v>
      </c>
      <c r="L232" s="42" t="n">
        <v>46218.3935185185</v>
      </c>
    </row>
    <row r="233" customFormat="false" ht="15" hidden="false" customHeight="true" outlineLevel="0" collapsed="false">
      <c r="A233" s="43" t="n">
        <v>232</v>
      </c>
      <c r="B233" s="44" t="s">
        <v>733</v>
      </c>
      <c r="C233" s="44" t="s">
        <v>734</v>
      </c>
      <c r="D233" s="44" t="s">
        <v>37</v>
      </c>
      <c r="E233" s="45" t="b">
        <f aca="false">TRUE()</f>
        <v>1</v>
      </c>
      <c r="F233" s="43" t="s">
        <v>34</v>
      </c>
      <c r="G233" s="43" t="n">
        <v>232</v>
      </c>
      <c r="H233" s="44" t="s">
        <v>735</v>
      </c>
      <c r="I233" s="44" t="s">
        <v>57</v>
      </c>
      <c r="J233" s="44" t="s">
        <v>37</v>
      </c>
      <c r="K233" s="46" t="n">
        <f aca="false">IF(E233=TRUE(),1,0)</f>
        <v>1</v>
      </c>
      <c r="L233" s="47" t="n">
        <v>46218.3965856481</v>
      </c>
    </row>
    <row r="234" customFormat="false" ht="15" hidden="false" customHeight="true" outlineLevel="0" collapsed="false">
      <c r="A234" s="38" t="n">
        <v>233</v>
      </c>
      <c r="B234" s="39" t="s">
        <v>736</v>
      </c>
      <c r="C234" s="39" t="s">
        <v>737</v>
      </c>
      <c r="D234" s="39" t="s">
        <v>37</v>
      </c>
      <c r="E234" s="40" t="b">
        <f aca="false">FALSE()</f>
        <v>0</v>
      </c>
      <c r="F234" s="38" t="s">
        <v>44</v>
      </c>
      <c r="G234" s="38" t="n">
        <v>233</v>
      </c>
      <c r="H234" s="39" t="s">
        <v>738</v>
      </c>
      <c r="I234" s="39" t="s">
        <v>36</v>
      </c>
      <c r="J234" s="39" t="s">
        <v>33</v>
      </c>
      <c r="K234" s="41" t="n">
        <f aca="false">IF(E234=TRUE(),1,0)</f>
        <v>0</v>
      </c>
      <c r="L234" s="39"/>
    </row>
    <row r="235" customFormat="false" ht="15" hidden="false" customHeight="true" outlineLevel="0" collapsed="false">
      <c r="A235" s="43" t="n">
        <v>234</v>
      </c>
      <c r="B235" s="44" t="s">
        <v>739</v>
      </c>
      <c r="C235" s="44" t="s">
        <v>740</v>
      </c>
      <c r="D235" s="44" t="s">
        <v>33</v>
      </c>
      <c r="E235" s="45" t="b">
        <f aca="false">TRUE()</f>
        <v>1</v>
      </c>
      <c r="F235" s="43" t="s">
        <v>40</v>
      </c>
      <c r="G235" s="43" t="n">
        <v>234</v>
      </c>
      <c r="H235" s="44" t="s">
        <v>741</v>
      </c>
      <c r="I235" s="44" t="s">
        <v>36</v>
      </c>
      <c r="J235" s="44" t="s">
        <v>33</v>
      </c>
      <c r="K235" s="46" t="n">
        <f aca="false">IF(E235=TRUE(),1,0)</f>
        <v>1</v>
      </c>
      <c r="L235" s="47" t="n">
        <v>46218.3975</v>
      </c>
    </row>
    <row r="236" customFormat="false" ht="15" hidden="false" customHeight="true" outlineLevel="0" collapsed="false">
      <c r="A236" s="38" t="n">
        <v>235</v>
      </c>
      <c r="B236" s="39" t="s">
        <v>742</v>
      </c>
      <c r="C236" s="39" t="s">
        <v>743</v>
      </c>
      <c r="D236" s="39" t="s">
        <v>33</v>
      </c>
      <c r="E236" s="40" t="b">
        <f aca="false">FALSE()</f>
        <v>0</v>
      </c>
      <c r="F236" s="38" t="s">
        <v>34</v>
      </c>
      <c r="G236" s="38" t="n">
        <v>235</v>
      </c>
      <c r="H236" s="39" t="s">
        <v>744</v>
      </c>
      <c r="I236" s="39" t="s">
        <v>57</v>
      </c>
      <c r="J236" s="39" t="s">
        <v>47</v>
      </c>
      <c r="K236" s="41" t="n">
        <f aca="false">IF(E236=TRUE(),1,0)</f>
        <v>0</v>
      </c>
      <c r="L236" s="39"/>
    </row>
    <row r="237" customFormat="false" ht="15" hidden="false" customHeight="true" outlineLevel="0" collapsed="false">
      <c r="A237" s="43" t="n">
        <v>236</v>
      </c>
      <c r="B237" s="44" t="s">
        <v>745</v>
      </c>
      <c r="C237" s="44" t="s">
        <v>746</v>
      </c>
      <c r="D237" s="44" t="s">
        <v>37</v>
      </c>
      <c r="E237" s="45" t="b">
        <f aca="false">TRUE()</f>
        <v>1</v>
      </c>
      <c r="F237" s="43" t="s">
        <v>44</v>
      </c>
      <c r="G237" s="43" t="n">
        <v>236</v>
      </c>
      <c r="H237" s="44" t="s">
        <v>747</v>
      </c>
      <c r="I237" s="44" t="s">
        <v>57</v>
      </c>
      <c r="J237" s="44" t="s">
        <v>37</v>
      </c>
      <c r="K237" s="46" t="n">
        <f aca="false">IF(E237=TRUE(),1,0)</f>
        <v>1</v>
      </c>
      <c r="L237" s="47" t="n">
        <v>46218.3975694445</v>
      </c>
    </row>
    <row r="238" customFormat="false" ht="15" hidden="false" customHeight="true" outlineLevel="0" collapsed="false">
      <c r="A238" s="38" t="n">
        <v>237</v>
      </c>
      <c r="B238" s="39" t="s">
        <v>748</v>
      </c>
      <c r="C238" s="39" t="s">
        <v>749</v>
      </c>
      <c r="D238" s="39" t="s">
        <v>37</v>
      </c>
      <c r="E238" s="40" t="b">
        <f aca="false">FALSE()</f>
        <v>0</v>
      </c>
      <c r="F238" s="38" t="s">
        <v>40</v>
      </c>
      <c r="G238" s="38" t="n">
        <v>237</v>
      </c>
      <c r="H238" s="39" t="s">
        <v>750</v>
      </c>
      <c r="I238" s="39" t="s">
        <v>57</v>
      </c>
      <c r="J238" s="39" t="s">
        <v>37</v>
      </c>
      <c r="K238" s="41" t="n">
        <f aca="false">IF(E238=TRUE(),1,0)</f>
        <v>0</v>
      </c>
      <c r="L238" s="39"/>
    </row>
    <row r="239" customFormat="false" ht="15" hidden="false" customHeight="true" outlineLevel="0" collapsed="false">
      <c r="A239" s="43" t="n">
        <v>238</v>
      </c>
      <c r="B239" s="44" t="s">
        <v>751</v>
      </c>
      <c r="C239" s="44" t="s">
        <v>752</v>
      </c>
      <c r="D239" s="44" t="s">
        <v>33</v>
      </c>
      <c r="E239" s="45" t="b">
        <f aca="false">TRUE()</f>
        <v>1</v>
      </c>
      <c r="F239" s="43" t="s">
        <v>40</v>
      </c>
      <c r="G239" s="43" t="n">
        <v>238</v>
      </c>
      <c r="H239" s="44" t="s">
        <v>753</v>
      </c>
      <c r="I239" s="44" t="s">
        <v>36</v>
      </c>
      <c r="J239" s="44" t="s">
        <v>33</v>
      </c>
      <c r="K239" s="46" t="n">
        <f aca="false">IF(E239=TRUE(),1,0)</f>
        <v>1</v>
      </c>
      <c r="L239" s="47" t="n">
        <v>46218.3979861111</v>
      </c>
    </row>
    <row r="240" customFormat="false" ht="15" hidden="false" customHeight="true" outlineLevel="0" collapsed="false">
      <c r="A240" s="38" t="n">
        <v>239</v>
      </c>
      <c r="B240" s="39" t="s">
        <v>754</v>
      </c>
      <c r="C240" s="39" t="s">
        <v>755</v>
      </c>
      <c r="D240" s="39" t="s">
        <v>47</v>
      </c>
      <c r="E240" s="40" t="b">
        <f aca="false">FALSE()</f>
        <v>0</v>
      </c>
      <c r="F240" s="38" t="s">
        <v>34</v>
      </c>
      <c r="G240" s="38" t="n">
        <v>239</v>
      </c>
      <c r="H240" s="39" t="s">
        <v>756</v>
      </c>
      <c r="I240" s="39" t="s">
        <v>57</v>
      </c>
      <c r="J240" s="39" t="s">
        <v>33</v>
      </c>
      <c r="K240" s="41" t="n">
        <f aca="false">IF(E240=TRUE(),1,0)</f>
        <v>0</v>
      </c>
      <c r="L240" s="39"/>
    </row>
    <row r="241" customFormat="false" ht="15" hidden="false" customHeight="true" outlineLevel="0" collapsed="false">
      <c r="A241" s="43" t="n">
        <v>240</v>
      </c>
      <c r="B241" s="44" t="s">
        <v>757</v>
      </c>
      <c r="C241" s="44" t="s">
        <v>758</v>
      </c>
      <c r="D241" s="44" t="s">
        <v>33</v>
      </c>
      <c r="E241" s="45" t="b">
        <f aca="false">TRUE()</f>
        <v>1</v>
      </c>
      <c r="F241" s="43" t="s">
        <v>44</v>
      </c>
      <c r="G241" s="43" t="n">
        <v>240</v>
      </c>
      <c r="H241" s="44" t="s">
        <v>759</v>
      </c>
      <c r="I241" s="44" t="s">
        <v>36</v>
      </c>
      <c r="J241" s="44" t="s">
        <v>37</v>
      </c>
      <c r="K241" s="46" t="n">
        <f aca="false">IF(E241=TRUE(),1,0)</f>
        <v>1</v>
      </c>
      <c r="L241" s="47" t="n">
        <v>46218.4000347222</v>
      </c>
    </row>
    <row r="242" customFormat="false" ht="15" hidden="false" customHeight="true" outlineLevel="0" collapsed="false">
      <c r="A242" s="38" t="n">
        <v>241</v>
      </c>
      <c r="B242" s="39" t="s">
        <v>760</v>
      </c>
      <c r="C242" s="39" t="s">
        <v>761</v>
      </c>
      <c r="D242" s="39" t="s">
        <v>33</v>
      </c>
      <c r="E242" s="40" t="b">
        <f aca="false">FALSE()</f>
        <v>0</v>
      </c>
      <c r="F242" s="38" t="s">
        <v>44</v>
      </c>
      <c r="G242" s="38" t="n">
        <v>241</v>
      </c>
      <c r="H242" s="39" t="s">
        <v>762</v>
      </c>
      <c r="I242" s="39" t="s">
        <v>46</v>
      </c>
      <c r="J242" s="39" t="s">
        <v>37</v>
      </c>
      <c r="K242" s="41" t="n">
        <f aca="false">IF(E242=TRUE(),1,0)</f>
        <v>0</v>
      </c>
      <c r="L242" s="39"/>
    </row>
    <row r="243" customFormat="false" ht="15" hidden="false" customHeight="true" outlineLevel="0" collapsed="false">
      <c r="A243" s="43" t="n">
        <v>242</v>
      </c>
      <c r="B243" s="44" t="s">
        <v>763</v>
      </c>
      <c r="C243" s="44" t="s">
        <v>764</v>
      </c>
      <c r="D243" s="44" t="s">
        <v>33</v>
      </c>
      <c r="E243" s="45" t="b">
        <f aca="false">FALSE()</f>
        <v>0</v>
      </c>
      <c r="F243" s="43" t="s">
        <v>44</v>
      </c>
      <c r="G243" s="43" t="n">
        <v>242</v>
      </c>
      <c r="H243" s="44" t="s">
        <v>765</v>
      </c>
      <c r="I243" s="44" t="s">
        <v>57</v>
      </c>
      <c r="J243" s="44" t="s">
        <v>33</v>
      </c>
      <c r="K243" s="46" t="n">
        <f aca="false">IF(E243=TRUE(),1,0)</f>
        <v>0</v>
      </c>
      <c r="L243" s="44"/>
    </row>
    <row r="244" customFormat="false" ht="15" hidden="false" customHeight="true" outlineLevel="0" collapsed="false">
      <c r="A244" s="38" t="n">
        <v>243</v>
      </c>
      <c r="B244" s="39" t="s">
        <v>766</v>
      </c>
      <c r="C244" s="39" t="s">
        <v>767</v>
      </c>
      <c r="D244" s="39" t="s">
        <v>37</v>
      </c>
      <c r="E244" s="40" t="b">
        <f aca="false">FALSE()</f>
        <v>0</v>
      </c>
      <c r="F244" s="38" t="s">
        <v>34</v>
      </c>
      <c r="G244" s="38" t="n">
        <v>243</v>
      </c>
      <c r="H244" s="39" t="s">
        <v>768</v>
      </c>
      <c r="I244" s="39" t="s">
        <v>57</v>
      </c>
      <c r="J244" s="39" t="s">
        <v>47</v>
      </c>
      <c r="K244" s="41" t="n">
        <f aca="false">IF(E244=TRUE(),1,0)</f>
        <v>0</v>
      </c>
      <c r="L244" s="39"/>
    </row>
    <row r="245" customFormat="false" ht="15" hidden="false" customHeight="true" outlineLevel="0" collapsed="false">
      <c r="A245" s="43" t="n">
        <v>244</v>
      </c>
      <c r="B245" s="44" t="s">
        <v>769</v>
      </c>
      <c r="C245" s="44" t="s">
        <v>770</v>
      </c>
      <c r="D245" s="44" t="s">
        <v>47</v>
      </c>
      <c r="E245" s="45" t="b">
        <f aca="false">TRUE()</f>
        <v>1</v>
      </c>
      <c r="F245" s="43" t="s">
        <v>40</v>
      </c>
      <c r="G245" s="43" t="n">
        <v>244</v>
      </c>
      <c r="H245" s="44" t="s">
        <v>771</v>
      </c>
      <c r="I245" s="44" t="s">
        <v>36</v>
      </c>
      <c r="J245" s="44" t="s">
        <v>33</v>
      </c>
      <c r="K245" s="46" t="n">
        <f aca="false">IF(E245=TRUE(),1,0)</f>
        <v>1</v>
      </c>
      <c r="L245" s="47" t="n">
        <v>46218.4039930556</v>
      </c>
    </row>
    <row r="246" customFormat="false" ht="15" hidden="false" customHeight="true" outlineLevel="0" collapsed="false">
      <c r="A246" s="38" t="n">
        <v>245</v>
      </c>
      <c r="B246" s="39" t="s">
        <v>772</v>
      </c>
      <c r="C246" s="39" t="s">
        <v>773</v>
      </c>
      <c r="D246" s="39" t="s">
        <v>47</v>
      </c>
      <c r="E246" s="40" t="b">
        <f aca="false">TRUE()</f>
        <v>1</v>
      </c>
      <c r="F246" s="38" t="s">
        <v>44</v>
      </c>
      <c r="G246" s="38" t="n">
        <v>245</v>
      </c>
      <c r="H246" s="39" t="s">
        <v>774</v>
      </c>
      <c r="I246" s="39" t="s">
        <v>57</v>
      </c>
      <c r="J246" s="39" t="s">
        <v>37</v>
      </c>
      <c r="K246" s="41" t="n">
        <f aca="false">IF(E246=TRUE(),1,0)</f>
        <v>1</v>
      </c>
      <c r="L246" s="42" t="n">
        <v>46218.4047222222</v>
      </c>
    </row>
    <row r="247" customFormat="false" ht="15" hidden="false" customHeight="true" outlineLevel="0" collapsed="false">
      <c r="A247" s="43" t="n">
        <v>246</v>
      </c>
      <c r="B247" s="44" t="s">
        <v>775</v>
      </c>
      <c r="C247" s="44" t="s">
        <v>776</v>
      </c>
      <c r="D247" s="44" t="s">
        <v>47</v>
      </c>
      <c r="E247" s="45" t="b">
        <f aca="false">TRUE()</f>
        <v>1</v>
      </c>
      <c r="F247" s="43" t="s">
        <v>44</v>
      </c>
      <c r="G247" s="43" t="n">
        <v>246</v>
      </c>
      <c r="H247" s="44" t="s">
        <v>777</v>
      </c>
      <c r="I247" s="44" t="s">
        <v>57</v>
      </c>
      <c r="J247" s="44" t="s">
        <v>37</v>
      </c>
      <c r="K247" s="46" t="n">
        <f aca="false">IF(E247=TRUE(),1,0)</f>
        <v>1</v>
      </c>
      <c r="L247" s="47" t="n">
        <v>46218.4075925926</v>
      </c>
    </row>
    <row r="248" customFormat="false" ht="15" hidden="false" customHeight="true" outlineLevel="0" collapsed="false">
      <c r="A248" s="38" t="n">
        <v>247</v>
      </c>
      <c r="B248" s="39" t="s">
        <v>778</v>
      </c>
      <c r="C248" s="39" t="s">
        <v>779</v>
      </c>
      <c r="D248" s="39" t="s">
        <v>37</v>
      </c>
      <c r="E248" s="40" t="b">
        <f aca="false">TRUE()</f>
        <v>1</v>
      </c>
      <c r="F248" s="38" t="s">
        <v>44</v>
      </c>
      <c r="G248" s="38" t="n">
        <v>247</v>
      </c>
      <c r="H248" s="39" t="s">
        <v>780</v>
      </c>
      <c r="I248" s="39" t="s">
        <v>46</v>
      </c>
      <c r="J248" s="39" t="s">
        <v>37</v>
      </c>
      <c r="K248" s="41" t="n">
        <f aca="false">IF(E248=TRUE(),1,0)</f>
        <v>1</v>
      </c>
      <c r="L248" s="42" t="n">
        <v>46218.4075925926</v>
      </c>
    </row>
    <row r="249" customFormat="false" ht="15" hidden="false" customHeight="true" outlineLevel="0" collapsed="false">
      <c r="A249" s="43" t="n">
        <v>248</v>
      </c>
      <c r="B249" s="44" t="s">
        <v>781</v>
      </c>
      <c r="C249" s="44" t="s">
        <v>782</v>
      </c>
      <c r="D249" s="44" t="s">
        <v>47</v>
      </c>
      <c r="E249" s="45" t="b">
        <f aca="false">FALSE()</f>
        <v>0</v>
      </c>
      <c r="F249" s="43" t="s">
        <v>40</v>
      </c>
      <c r="G249" s="43" t="n">
        <v>248</v>
      </c>
      <c r="H249" s="44" t="s">
        <v>783</v>
      </c>
      <c r="I249" s="44" t="s">
        <v>36</v>
      </c>
      <c r="J249" s="44" t="s">
        <v>33</v>
      </c>
      <c r="K249" s="46" t="n">
        <f aca="false">IF(E249=TRUE(),1,0)</f>
        <v>0</v>
      </c>
      <c r="L249" s="44"/>
    </row>
    <row r="250" customFormat="false" ht="15" hidden="false" customHeight="true" outlineLevel="0" collapsed="false">
      <c r="A250" s="38" t="n">
        <v>249</v>
      </c>
      <c r="B250" s="39" t="s">
        <v>784</v>
      </c>
      <c r="C250" s="39" t="s">
        <v>785</v>
      </c>
      <c r="D250" s="39" t="s">
        <v>33</v>
      </c>
      <c r="E250" s="40" t="b">
        <f aca="false">TRUE()</f>
        <v>1</v>
      </c>
      <c r="F250" s="38" t="s">
        <v>44</v>
      </c>
      <c r="G250" s="38" t="n">
        <v>249</v>
      </c>
      <c r="H250" s="39" t="s">
        <v>786</v>
      </c>
      <c r="I250" s="39" t="s">
        <v>36</v>
      </c>
      <c r="J250" s="39" t="s">
        <v>33</v>
      </c>
      <c r="K250" s="41" t="n">
        <f aca="false">IF(E250=TRUE(),1,0)</f>
        <v>1</v>
      </c>
      <c r="L250" s="42" t="n">
        <v>46218.4088888889</v>
      </c>
    </row>
    <row r="251" customFormat="false" ht="15" hidden="false" customHeight="true" outlineLevel="0" collapsed="false">
      <c r="A251" s="43" t="n">
        <v>250</v>
      </c>
      <c r="B251" s="44" t="s">
        <v>787</v>
      </c>
      <c r="C251" s="44" t="s">
        <v>788</v>
      </c>
      <c r="D251" s="44" t="s">
        <v>47</v>
      </c>
      <c r="E251" s="45" t="b">
        <f aca="false">TRUE()</f>
        <v>1</v>
      </c>
      <c r="F251" s="43" t="s">
        <v>44</v>
      </c>
      <c r="G251" s="43" t="n">
        <v>250</v>
      </c>
      <c r="H251" s="44" t="s">
        <v>789</v>
      </c>
      <c r="I251" s="44" t="s">
        <v>46</v>
      </c>
      <c r="J251" s="44" t="s">
        <v>47</v>
      </c>
      <c r="K251" s="46" t="n">
        <f aca="false">IF(E251=TRUE(),1,0)</f>
        <v>1</v>
      </c>
      <c r="L251" s="47" t="n">
        <v>46218.4090740741</v>
      </c>
    </row>
    <row r="252" customFormat="false" ht="15" hidden="false" customHeight="true" outlineLevel="0" collapsed="false">
      <c r="A252" s="38" t="n">
        <v>251</v>
      </c>
      <c r="B252" s="39" t="s">
        <v>790</v>
      </c>
      <c r="C252" s="39" t="s">
        <v>791</v>
      </c>
      <c r="D252" s="39" t="s">
        <v>33</v>
      </c>
      <c r="E252" s="40" t="b">
        <f aca="false">FALSE()</f>
        <v>0</v>
      </c>
      <c r="F252" s="38" t="s">
        <v>34</v>
      </c>
      <c r="G252" s="38" t="n">
        <v>251</v>
      </c>
      <c r="H252" s="39" t="s">
        <v>792</v>
      </c>
      <c r="I252" s="39" t="s">
        <v>46</v>
      </c>
      <c r="J252" s="39" t="s">
        <v>33</v>
      </c>
      <c r="K252" s="41" t="n">
        <f aca="false">IF(E252=TRUE(),1,0)</f>
        <v>0</v>
      </c>
      <c r="L252" s="39"/>
    </row>
    <row r="253" customFormat="false" ht="15" hidden="false" customHeight="true" outlineLevel="0" collapsed="false">
      <c r="A253" s="43" t="n">
        <v>252</v>
      </c>
      <c r="B253" s="44" t="s">
        <v>793</v>
      </c>
      <c r="C253" s="44" t="s">
        <v>794</v>
      </c>
      <c r="D253" s="44" t="s">
        <v>33</v>
      </c>
      <c r="E253" s="45" t="b">
        <f aca="false">TRUE()</f>
        <v>1</v>
      </c>
      <c r="F253" s="43" t="s">
        <v>44</v>
      </c>
      <c r="G253" s="43" t="n">
        <v>252</v>
      </c>
      <c r="H253" s="44" t="s">
        <v>795</v>
      </c>
      <c r="I253" s="44" t="s">
        <v>36</v>
      </c>
      <c r="J253" s="44" t="s">
        <v>37</v>
      </c>
      <c r="K253" s="46" t="n">
        <f aca="false">IF(E253=TRUE(),1,0)</f>
        <v>1</v>
      </c>
      <c r="L253" s="47" t="n">
        <v>46218.4095717593</v>
      </c>
    </row>
    <row r="254" customFormat="false" ht="15" hidden="false" customHeight="true" outlineLevel="0" collapsed="false">
      <c r="A254" s="38" t="n">
        <v>253</v>
      </c>
      <c r="B254" s="39" t="s">
        <v>796</v>
      </c>
      <c r="C254" s="39" t="s">
        <v>797</v>
      </c>
      <c r="D254" s="39" t="s">
        <v>37</v>
      </c>
      <c r="E254" s="40" t="b">
        <f aca="false">TRUE()</f>
        <v>1</v>
      </c>
      <c r="F254" s="38" t="s">
        <v>44</v>
      </c>
      <c r="G254" s="38" t="n">
        <v>253</v>
      </c>
      <c r="H254" s="39" t="s">
        <v>798</v>
      </c>
      <c r="I254" s="39" t="s">
        <v>57</v>
      </c>
      <c r="J254" s="39" t="s">
        <v>33</v>
      </c>
      <c r="K254" s="41" t="n">
        <f aca="false">IF(E254=TRUE(),1,0)</f>
        <v>1</v>
      </c>
      <c r="L254" s="42" t="n">
        <v>46218.4095949074</v>
      </c>
    </row>
    <row r="255" customFormat="false" ht="15" hidden="false" customHeight="true" outlineLevel="0" collapsed="false">
      <c r="A255" s="43" t="n">
        <v>254</v>
      </c>
      <c r="B255" s="44" t="s">
        <v>799</v>
      </c>
      <c r="C255" s="44" t="s">
        <v>800</v>
      </c>
      <c r="D255" s="44" t="s">
        <v>33</v>
      </c>
      <c r="E255" s="45" t="b">
        <f aca="false">FALSE()</f>
        <v>0</v>
      </c>
      <c r="F255" s="43" t="s">
        <v>40</v>
      </c>
      <c r="G255" s="43" t="n">
        <v>254</v>
      </c>
      <c r="H255" s="44" t="s">
        <v>801</v>
      </c>
      <c r="I255" s="44" t="s">
        <v>57</v>
      </c>
      <c r="J255" s="44" t="s">
        <v>47</v>
      </c>
      <c r="K255" s="46" t="n">
        <f aca="false">IF(E255=TRUE(),1,0)</f>
        <v>0</v>
      </c>
      <c r="L255" s="44"/>
    </row>
    <row r="256" customFormat="false" ht="15" hidden="false" customHeight="true" outlineLevel="0" collapsed="false">
      <c r="A256" s="38" t="n">
        <v>255</v>
      </c>
      <c r="B256" s="39" t="s">
        <v>802</v>
      </c>
      <c r="C256" s="39" t="s">
        <v>803</v>
      </c>
      <c r="D256" s="39" t="s">
        <v>37</v>
      </c>
      <c r="E256" s="40" t="b">
        <f aca="false">TRUE()</f>
        <v>1</v>
      </c>
      <c r="F256" s="38" t="s">
        <v>40</v>
      </c>
      <c r="G256" s="38" t="n">
        <v>255</v>
      </c>
      <c r="H256" s="39" t="s">
        <v>804</v>
      </c>
      <c r="I256" s="39" t="s">
        <v>36</v>
      </c>
      <c r="J256" s="39" t="s">
        <v>37</v>
      </c>
      <c r="K256" s="41" t="n">
        <f aca="false">IF(E256=TRUE(),1,0)</f>
        <v>1</v>
      </c>
      <c r="L256" s="42" t="n">
        <v>46218.4110763889</v>
      </c>
    </row>
    <row r="257" customFormat="false" ht="15" hidden="false" customHeight="true" outlineLevel="0" collapsed="false">
      <c r="A257" s="43" t="n">
        <v>256</v>
      </c>
      <c r="B257" s="44" t="s">
        <v>805</v>
      </c>
      <c r="C257" s="44" t="s">
        <v>806</v>
      </c>
      <c r="D257" s="44" t="s">
        <v>37</v>
      </c>
      <c r="E257" s="45" t="b">
        <f aca="false">FALSE()</f>
        <v>0</v>
      </c>
      <c r="F257" s="43" t="s">
        <v>40</v>
      </c>
      <c r="G257" s="43" t="n">
        <v>256</v>
      </c>
      <c r="H257" s="44" t="s">
        <v>807</v>
      </c>
      <c r="I257" s="44" t="s">
        <v>57</v>
      </c>
      <c r="J257" s="44" t="s">
        <v>47</v>
      </c>
      <c r="K257" s="46" t="n">
        <f aca="false">IF(E257=TRUE(),1,0)</f>
        <v>0</v>
      </c>
      <c r="L257" s="44"/>
    </row>
    <row r="258" customFormat="false" ht="15" hidden="false" customHeight="true" outlineLevel="0" collapsed="false">
      <c r="A258" s="38" t="n">
        <v>257</v>
      </c>
      <c r="B258" s="39" t="s">
        <v>808</v>
      </c>
      <c r="C258" s="39" t="s">
        <v>809</v>
      </c>
      <c r="D258" s="39" t="s">
        <v>47</v>
      </c>
      <c r="E258" s="40" t="b">
        <f aca="false">TRUE()</f>
        <v>1</v>
      </c>
      <c r="F258" s="38" t="s">
        <v>40</v>
      </c>
      <c r="G258" s="38" t="n">
        <v>257</v>
      </c>
      <c r="H258" s="39" t="s">
        <v>810</v>
      </c>
      <c r="I258" s="39" t="s">
        <v>46</v>
      </c>
      <c r="J258" s="39" t="s">
        <v>33</v>
      </c>
      <c r="K258" s="41" t="n">
        <f aca="false">IF(E258=TRUE(),1,0)</f>
        <v>1</v>
      </c>
      <c r="L258" s="42" t="n">
        <v>46218.4113194444</v>
      </c>
    </row>
    <row r="259" customFormat="false" ht="15" hidden="false" customHeight="true" outlineLevel="0" collapsed="false">
      <c r="A259" s="43" t="n">
        <v>258</v>
      </c>
      <c r="B259" s="44" t="s">
        <v>811</v>
      </c>
      <c r="C259" s="44" t="s">
        <v>812</v>
      </c>
      <c r="D259" s="44" t="s">
        <v>47</v>
      </c>
      <c r="E259" s="45" t="b">
        <f aca="false">FALSE()</f>
        <v>0</v>
      </c>
      <c r="F259" s="43" t="s">
        <v>34</v>
      </c>
      <c r="G259" s="43" t="n">
        <v>258</v>
      </c>
      <c r="H259" s="44" t="s">
        <v>813</v>
      </c>
      <c r="I259" s="44" t="s">
        <v>57</v>
      </c>
      <c r="J259" s="44" t="s">
        <v>33</v>
      </c>
      <c r="K259" s="46" t="n">
        <f aca="false">IF(E259=TRUE(),1,0)</f>
        <v>0</v>
      </c>
      <c r="L259" s="44"/>
    </row>
    <row r="260" customFormat="false" ht="15" hidden="false" customHeight="true" outlineLevel="0" collapsed="false">
      <c r="A260" s="38" t="n">
        <v>259</v>
      </c>
      <c r="B260" s="39" t="s">
        <v>814</v>
      </c>
      <c r="C260" s="39" t="s">
        <v>815</v>
      </c>
      <c r="D260" s="39" t="s">
        <v>47</v>
      </c>
      <c r="E260" s="40" t="b">
        <f aca="false">FALSE()</f>
        <v>0</v>
      </c>
      <c r="F260" s="38" t="s">
        <v>44</v>
      </c>
      <c r="G260" s="38" t="n">
        <v>259</v>
      </c>
      <c r="H260" s="39" t="s">
        <v>816</v>
      </c>
      <c r="I260" s="39" t="s">
        <v>36</v>
      </c>
      <c r="J260" s="39" t="s">
        <v>33</v>
      </c>
      <c r="K260" s="41" t="n">
        <f aca="false">IF(E260=TRUE(),1,0)</f>
        <v>0</v>
      </c>
      <c r="L260" s="39"/>
    </row>
    <row r="261" customFormat="false" ht="15" hidden="false" customHeight="true" outlineLevel="0" collapsed="false">
      <c r="A261" s="43" t="n">
        <v>260</v>
      </c>
      <c r="B261" s="44" t="s">
        <v>817</v>
      </c>
      <c r="C261" s="44" t="s">
        <v>818</v>
      </c>
      <c r="D261" s="44" t="s">
        <v>47</v>
      </c>
      <c r="E261" s="45" t="b">
        <f aca="false">TRUE()</f>
        <v>1</v>
      </c>
      <c r="F261" s="43" t="s">
        <v>44</v>
      </c>
      <c r="G261" s="43" t="n">
        <v>260</v>
      </c>
      <c r="H261" s="44" t="s">
        <v>819</v>
      </c>
      <c r="I261" s="44" t="s">
        <v>36</v>
      </c>
      <c r="J261" s="44" t="s">
        <v>33</v>
      </c>
      <c r="K261" s="46" t="n">
        <f aca="false">IF(E261=TRUE(),1,0)</f>
        <v>1</v>
      </c>
      <c r="L261" s="47" t="n">
        <v>46218.4116319444</v>
      </c>
    </row>
    <row r="262" customFormat="false" ht="15" hidden="false" customHeight="true" outlineLevel="0" collapsed="false">
      <c r="A262" s="38" t="n">
        <v>261</v>
      </c>
      <c r="B262" s="39" t="s">
        <v>820</v>
      </c>
      <c r="C262" s="39" t="s">
        <v>821</v>
      </c>
      <c r="D262" s="39" t="s">
        <v>33</v>
      </c>
      <c r="E262" s="40" t="b">
        <f aca="false">TRUE()</f>
        <v>1</v>
      </c>
      <c r="F262" s="38" t="s">
        <v>34</v>
      </c>
      <c r="G262" s="38" t="n">
        <v>261</v>
      </c>
      <c r="H262" s="39" t="s">
        <v>822</v>
      </c>
      <c r="I262" s="39" t="s">
        <v>57</v>
      </c>
      <c r="J262" s="39" t="s">
        <v>37</v>
      </c>
      <c r="K262" s="41" t="n">
        <f aca="false">IF(E262=TRUE(),1,0)</f>
        <v>1</v>
      </c>
      <c r="L262" s="42" t="n">
        <v>46218.4124189815</v>
      </c>
    </row>
    <row r="263" customFormat="false" ht="15" hidden="false" customHeight="true" outlineLevel="0" collapsed="false">
      <c r="A263" s="43" t="n">
        <v>262</v>
      </c>
      <c r="B263" s="44" t="s">
        <v>823</v>
      </c>
      <c r="C263" s="44" t="s">
        <v>824</v>
      </c>
      <c r="D263" s="44" t="s">
        <v>37</v>
      </c>
      <c r="E263" s="45" t="b">
        <f aca="false">FALSE()</f>
        <v>0</v>
      </c>
      <c r="F263" s="43" t="s">
        <v>40</v>
      </c>
      <c r="G263" s="43" t="n">
        <v>262</v>
      </c>
      <c r="H263" s="44" t="s">
        <v>825</v>
      </c>
      <c r="I263" s="44" t="s">
        <v>46</v>
      </c>
      <c r="J263" s="44" t="s">
        <v>33</v>
      </c>
      <c r="K263" s="46" t="n">
        <f aca="false">IF(E263=TRUE(),1,0)</f>
        <v>0</v>
      </c>
      <c r="L263" s="44"/>
    </row>
    <row r="264" customFormat="false" ht="15" hidden="false" customHeight="true" outlineLevel="0" collapsed="false">
      <c r="A264" s="38" t="n">
        <v>263</v>
      </c>
      <c r="B264" s="39" t="s">
        <v>826</v>
      </c>
      <c r="C264" s="39" t="s">
        <v>827</v>
      </c>
      <c r="D264" s="39" t="s">
        <v>47</v>
      </c>
      <c r="E264" s="40" t="b">
        <f aca="false">TRUE()</f>
        <v>1</v>
      </c>
      <c r="F264" s="38" t="s">
        <v>44</v>
      </c>
      <c r="G264" s="38" t="n">
        <v>263</v>
      </c>
      <c r="H264" s="39" t="s">
        <v>828</v>
      </c>
      <c r="I264" s="39" t="s">
        <v>36</v>
      </c>
      <c r="J264" s="39" t="s">
        <v>37</v>
      </c>
      <c r="K264" s="41" t="n">
        <f aca="false">IF(E264=TRUE(),1,0)</f>
        <v>1</v>
      </c>
      <c r="L264" s="42" t="n">
        <v>46218.4127662037</v>
      </c>
    </row>
    <row r="265" customFormat="false" ht="15" hidden="false" customHeight="true" outlineLevel="0" collapsed="false">
      <c r="A265" s="43" t="n">
        <v>264</v>
      </c>
      <c r="B265" s="44" t="s">
        <v>829</v>
      </c>
      <c r="C265" s="44" t="s">
        <v>830</v>
      </c>
      <c r="D265" s="44" t="s">
        <v>33</v>
      </c>
      <c r="E265" s="45" t="b">
        <f aca="false">TRUE()</f>
        <v>1</v>
      </c>
      <c r="F265" s="43" t="s">
        <v>44</v>
      </c>
      <c r="G265" s="43" t="n">
        <v>264</v>
      </c>
      <c r="H265" s="44" t="s">
        <v>831</v>
      </c>
      <c r="I265" s="44" t="s">
        <v>46</v>
      </c>
      <c r="J265" s="44" t="s">
        <v>37</v>
      </c>
      <c r="K265" s="46" t="n">
        <f aca="false">IF(E265=TRUE(),1,0)</f>
        <v>1</v>
      </c>
      <c r="L265" s="47" t="n">
        <v>46218.4130092593</v>
      </c>
    </row>
    <row r="266" customFormat="false" ht="15" hidden="false" customHeight="true" outlineLevel="0" collapsed="false">
      <c r="A266" s="38" t="n">
        <v>265</v>
      </c>
      <c r="B266" s="39" t="s">
        <v>832</v>
      </c>
      <c r="C266" s="39" t="s">
        <v>833</v>
      </c>
      <c r="D266" s="39" t="s">
        <v>47</v>
      </c>
      <c r="E266" s="40" t="b">
        <f aca="false">FALSE()</f>
        <v>0</v>
      </c>
      <c r="F266" s="38" t="s">
        <v>34</v>
      </c>
      <c r="G266" s="38" t="n">
        <v>265</v>
      </c>
      <c r="H266" s="39" t="s">
        <v>834</v>
      </c>
      <c r="I266" s="39" t="s">
        <v>46</v>
      </c>
      <c r="J266" s="39" t="s">
        <v>47</v>
      </c>
      <c r="K266" s="41" t="n">
        <f aca="false">IF(E266=TRUE(),1,0)</f>
        <v>0</v>
      </c>
      <c r="L266" s="39"/>
    </row>
    <row r="267" customFormat="false" ht="15" hidden="false" customHeight="true" outlineLevel="0" collapsed="false">
      <c r="A267" s="43" t="n">
        <v>266</v>
      </c>
      <c r="B267" s="44" t="s">
        <v>835</v>
      </c>
      <c r="C267" s="44" t="s">
        <v>836</v>
      </c>
      <c r="D267" s="44" t="s">
        <v>33</v>
      </c>
      <c r="E267" s="45" t="b">
        <f aca="false">TRUE()</f>
        <v>1</v>
      </c>
      <c r="F267" s="43" t="s">
        <v>44</v>
      </c>
      <c r="G267" s="43" t="n">
        <v>266</v>
      </c>
      <c r="H267" s="44" t="s">
        <v>837</v>
      </c>
      <c r="I267" s="44" t="s">
        <v>57</v>
      </c>
      <c r="J267" s="44" t="s">
        <v>33</v>
      </c>
      <c r="K267" s="46" t="n">
        <f aca="false">IF(E267=TRUE(),1,0)</f>
        <v>1</v>
      </c>
      <c r="L267" s="47" t="n">
        <v>46218.4142013889</v>
      </c>
    </row>
    <row r="268" customFormat="false" ht="15" hidden="false" customHeight="true" outlineLevel="0" collapsed="false">
      <c r="A268" s="38" t="n">
        <v>267</v>
      </c>
      <c r="B268" s="39" t="s">
        <v>838</v>
      </c>
      <c r="C268" s="39" t="s">
        <v>839</v>
      </c>
      <c r="D268" s="39" t="s">
        <v>33</v>
      </c>
      <c r="E268" s="40" t="b">
        <f aca="false">TRUE()</f>
        <v>1</v>
      </c>
      <c r="F268" s="38" t="s">
        <v>44</v>
      </c>
      <c r="G268" s="38" t="n">
        <v>267</v>
      </c>
      <c r="H268" s="39" t="s">
        <v>840</v>
      </c>
      <c r="I268" s="39" t="s">
        <v>57</v>
      </c>
      <c r="J268" s="39" t="s">
        <v>37</v>
      </c>
      <c r="K268" s="41" t="n">
        <f aca="false">IF(E268=TRUE(),1,0)</f>
        <v>1</v>
      </c>
      <c r="L268" s="42" t="n">
        <v>46218.414224537</v>
      </c>
    </row>
    <row r="269" customFormat="false" ht="15" hidden="false" customHeight="true" outlineLevel="0" collapsed="false">
      <c r="A269" s="43" t="n">
        <v>268</v>
      </c>
      <c r="B269" s="44" t="s">
        <v>841</v>
      </c>
      <c r="C269" s="44" t="s">
        <v>842</v>
      </c>
      <c r="D269" s="44" t="s">
        <v>47</v>
      </c>
      <c r="E269" s="45" t="b">
        <f aca="false">FALSE()</f>
        <v>0</v>
      </c>
      <c r="F269" s="43" t="s">
        <v>40</v>
      </c>
      <c r="G269" s="43" t="n">
        <v>268</v>
      </c>
      <c r="H269" s="44" t="s">
        <v>843</v>
      </c>
      <c r="I269" s="44" t="s">
        <v>46</v>
      </c>
      <c r="J269" s="44" t="s">
        <v>37</v>
      </c>
      <c r="K269" s="46" t="n">
        <f aca="false">IF(E269=TRUE(),1,0)</f>
        <v>0</v>
      </c>
      <c r="L269" s="44"/>
    </row>
    <row r="270" customFormat="false" ht="15" hidden="false" customHeight="true" outlineLevel="0" collapsed="false">
      <c r="A270" s="38" t="n">
        <v>269</v>
      </c>
      <c r="B270" s="39" t="s">
        <v>844</v>
      </c>
      <c r="C270" s="39" t="s">
        <v>845</v>
      </c>
      <c r="D270" s="39" t="s">
        <v>37</v>
      </c>
      <c r="E270" s="40" t="b">
        <f aca="false">TRUE()</f>
        <v>1</v>
      </c>
      <c r="F270" s="38" t="s">
        <v>44</v>
      </c>
      <c r="G270" s="38" t="n">
        <v>269</v>
      </c>
      <c r="H270" s="39" t="s">
        <v>846</v>
      </c>
      <c r="I270" s="39" t="s">
        <v>36</v>
      </c>
      <c r="J270" s="39" t="s">
        <v>33</v>
      </c>
      <c r="K270" s="41" t="n">
        <f aca="false">IF(E270=TRUE(),1,0)</f>
        <v>1</v>
      </c>
      <c r="L270" s="42" t="n">
        <v>46218.4149189815</v>
      </c>
    </row>
    <row r="271" customFormat="false" ht="15" hidden="false" customHeight="true" outlineLevel="0" collapsed="false">
      <c r="A271" s="43" t="n">
        <v>270</v>
      </c>
      <c r="B271" s="44" t="s">
        <v>847</v>
      </c>
      <c r="C271" s="44" t="s">
        <v>848</v>
      </c>
      <c r="D271" s="44" t="s">
        <v>33</v>
      </c>
      <c r="E271" s="45" t="b">
        <f aca="false">FALSE()</f>
        <v>0</v>
      </c>
      <c r="F271" s="43" t="s">
        <v>34</v>
      </c>
      <c r="G271" s="43" t="n">
        <v>270</v>
      </c>
      <c r="H271" s="44" t="s">
        <v>849</v>
      </c>
      <c r="I271" s="44" t="s">
        <v>36</v>
      </c>
      <c r="J271" s="44" t="s">
        <v>33</v>
      </c>
      <c r="K271" s="46" t="n">
        <f aca="false">IF(E271=TRUE(),1,0)</f>
        <v>0</v>
      </c>
      <c r="L271" s="44"/>
    </row>
    <row r="272" customFormat="false" ht="15" hidden="false" customHeight="true" outlineLevel="0" collapsed="false">
      <c r="A272" s="38" t="n">
        <v>271</v>
      </c>
      <c r="B272" s="39" t="s">
        <v>850</v>
      </c>
      <c r="C272" s="39" t="s">
        <v>851</v>
      </c>
      <c r="D272" s="39" t="s">
        <v>47</v>
      </c>
      <c r="E272" s="40" t="b">
        <f aca="false">TRUE()</f>
        <v>1</v>
      </c>
      <c r="F272" s="38" t="s">
        <v>40</v>
      </c>
      <c r="G272" s="38" t="n">
        <v>271</v>
      </c>
      <c r="H272" s="39" t="s">
        <v>852</v>
      </c>
      <c r="I272" s="39" t="s">
        <v>57</v>
      </c>
      <c r="J272" s="39" t="s">
        <v>33</v>
      </c>
      <c r="K272" s="41" t="n">
        <f aca="false">IF(E272=TRUE(),1,0)</f>
        <v>1</v>
      </c>
      <c r="L272" s="42" t="n">
        <v>46218.4150347222</v>
      </c>
    </row>
    <row r="273" customFormat="false" ht="15" hidden="false" customHeight="true" outlineLevel="0" collapsed="false">
      <c r="A273" s="43" t="n">
        <v>272</v>
      </c>
      <c r="B273" s="44" t="s">
        <v>853</v>
      </c>
      <c r="C273" s="44" t="s">
        <v>854</v>
      </c>
      <c r="D273" s="44" t="s">
        <v>37</v>
      </c>
      <c r="E273" s="45" t="b">
        <f aca="false">TRUE()</f>
        <v>1</v>
      </c>
      <c r="F273" s="43" t="s">
        <v>34</v>
      </c>
      <c r="G273" s="43" t="n">
        <v>272</v>
      </c>
      <c r="H273" s="44" t="s">
        <v>855</v>
      </c>
      <c r="I273" s="44" t="s">
        <v>46</v>
      </c>
      <c r="J273" s="44" t="s">
        <v>33</v>
      </c>
      <c r="K273" s="46" t="n">
        <f aca="false">IF(E273=TRUE(),1,0)</f>
        <v>1</v>
      </c>
      <c r="L273" s="47" t="n">
        <v>46218.4156018519</v>
      </c>
    </row>
    <row r="274" customFormat="false" ht="15" hidden="false" customHeight="true" outlineLevel="0" collapsed="false">
      <c r="A274" s="38" t="n">
        <v>273</v>
      </c>
      <c r="B274" s="39" t="s">
        <v>856</v>
      </c>
      <c r="C274" s="39" t="s">
        <v>857</v>
      </c>
      <c r="D274" s="39" t="s">
        <v>37</v>
      </c>
      <c r="E274" s="40" t="b">
        <f aca="false">FALSE()</f>
        <v>0</v>
      </c>
      <c r="F274" s="38" t="s">
        <v>34</v>
      </c>
      <c r="G274" s="38" t="n">
        <v>273</v>
      </c>
      <c r="H274" s="39" t="s">
        <v>858</v>
      </c>
      <c r="I274" s="39" t="s">
        <v>46</v>
      </c>
      <c r="J274" s="39" t="s">
        <v>37</v>
      </c>
      <c r="K274" s="41" t="n">
        <f aca="false">IF(E274=TRUE(),1,0)</f>
        <v>0</v>
      </c>
      <c r="L274" s="39"/>
    </row>
    <row r="275" customFormat="false" ht="15" hidden="false" customHeight="true" outlineLevel="0" collapsed="false">
      <c r="A275" s="43" t="n">
        <v>274</v>
      </c>
      <c r="B275" s="44" t="s">
        <v>859</v>
      </c>
      <c r="C275" s="44" t="s">
        <v>860</v>
      </c>
      <c r="D275" s="44" t="s">
        <v>47</v>
      </c>
      <c r="E275" s="45" t="b">
        <f aca="false">FALSE()</f>
        <v>0</v>
      </c>
      <c r="F275" s="43" t="s">
        <v>44</v>
      </c>
      <c r="G275" s="43" t="n">
        <v>274</v>
      </c>
      <c r="H275" s="44" t="s">
        <v>861</v>
      </c>
      <c r="I275" s="44" t="s">
        <v>36</v>
      </c>
      <c r="J275" s="44" t="s">
        <v>33</v>
      </c>
      <c r="K275" s="46" t="n">
        <f aca="false">IF(E275=TRUE(),1,0)</f>
        <v>0</v>
      </c>
      <c r="L275" s="44"/>
    </row>
    <row r="276" customFormat="false" ht="15" hidden="false" customHeight="true" outlineLevel="0" collapsed="false">
      <c r="A276" s="38" t="n">
        <v>275</v>
      </c>
      <c r="B276" s="39" t="s">
        <v>862</v>
      </c>
      <c r="C276" s="39" t="s">
        <v>863</v>
      </c>
      <c r="D276" s="39" t="s">
        <v>33</v>
      </c>
      <c r="E276" s="40" t="b">
        <f aca="false">TRUE()</f>
        <v>1</v>
      </c>
      <c r="F276" s="38" t="s">
        <v>34</v>
      </c>
      <c r="G276" s="38" t="n">
        <v>275</v>
      </c>
      <c r="H276" s="39" t="s">
        <v>864</v>
      </c>
      <c r="I276" s="39" t="s">
        <v>46</v>
      </c>
      <c r="J276" s="39" t="s">
        <v>33</v>
      </c>
      <c r="K276" s="41" t="n">
        <f aca="false">IF(E276=TRUE(),1,0)</f>
        <v>1</v>
      </c>
      <c r="L276" s="42" t="n">
        <v>46218.4165393519</v>
      </c>
    </row>
    <row r="277" customFormat="false" ht="15" hidden="false" customHeight="true" outlineLevel="0" collapsed="false">
      <c r="A277" s="43" t="n">
        <v>276</v>
      </c>
      <c r="B277" s="44" t="s">
        <v>865</v>
      </c>
      <c r="C277" s="44" t="s">
        <v>866</v>
      </c>
      <c r="D277" s="44" t="s">
        <v>33</v>
      </c>
      <c r="E277" s="45" t="b">
        <f aca="false">TRUE()</f>
        <v>1</v>
      </c>
      <c r="F277" s="43" t="s">
        <v>44</v>
      </c>
      <c r="G277" s="43" t="n">
        <v>276</v>
      </c>
      <c r="H277" s="44" t="s">
        <v>867</v>
      </c>
      <c r="I277" s="44" t="s">
        <v>57</v>
      </c>
      <c r="J277" s="44" t="s">
        <v>47</v>
      </c>
      <c r="K277" s="46" t="n">
        <f aca="false">IF(E277=TRUE(),1,0)</f>
        <v>1</v>
      </c>
      <c r="L277" s="47" t="n">
        <v>46218.4169097222</v>
      </c>
    </row>
    <row r="278" customFormat="false" ht="15" hidden="false" customHeight="true" outlineLevel="0" collapsed="false">
      <c r="A278" s="38" t="n">
        <v>277</v>
      </c>
      <c r="B278" s="39" t="s">
        <v>868</v>
      </c>
      <c r="C278" s="39" t="s">
        <v>869</v>
      </c>
      <c r="D278" s="39" t="s">
        <v>33</v>
      </c>
      <c r="E278" s="40" t="b">
        <f aca="false">TRUE()</f>
        <v>1</v>
      </c>
      <c r="F278" s="38" t="s">
        <v>34</v>
      </c>
      <c r="G278" s="38" t="n">
        <v>277</v>
      </c>
      <c r="H278" s="39" t="s">
        <v>870</v>
      </c>
      <c r="I278" s="39" t="s">
        <v>46</v>
      </c>
      <c r="J278" s="39" t="s">
        <v>37</v>
      </c>
      <c r="K278" s="41" t="n">
        <f aca="false">IF(E278=TRUE(),1,0)</f>
        <v>1</v>
      </c>
      <c r="L278" s="42" t="n">
        <v>46218.4178125</v>
      </c>
    </row>
    <row r="279" customFormat="false" ht="15" hidden="false" customHeight="true" outlineLevel="0" collapsed="false">
      <c r="A279" s="43" t="n">
        <v>278</v>
      </c>
      <c r="B279" s="44" t="s">
        <v>871</v>
      </c>
      <c r="C279" s="44" t="s">
        <v>872</v>
      </c>
      <c r="D279" s="44" t="s">
        <v>47</v>
      </c>
      <c r="E279" s="45" t="b">
        <f aca="false">TRUE()</f>
        <v>1</v>
      </c>
      <c r="F279" s="43" t="s">
        <v>34</v>
      </c>
      <c r="G279" s="43" t="n">
        <v>278</v>
      </c>
      <c r="H279" s="44" t="s">
        <v>873</v>
      </c>
      <c r="I279" s="44" t="s">
        <v>46</v>
      </c>
      <c r="J279" s="44" t="s">
        <v>37</v>
      </c>
      <c r="K279" s="46" t="n">
        <f aca="false">IF(E279=TRUE(),1,0)</f>
        <v>1</v>
      </c>
      <c r="L279" s="47" t="n">
        <v>46218.4203703704</v>
      </c>
    </row>
    <row r="280" customFormat="false" ht="15" hidden="false" customHeight="true" outlineLevel="0" collapsed="false">
      <c r="A280" s="38" t="n">
        <v>279</v>
      </c>
      <c r="B280" s="39" t="s">
        <v>874</v>
      </c>
      <c r="C280" s="39" t="s">
        <v>875</v>
      </c>
      <c r="D280" s="39" t="s">
        <v>37</v>
      </c>
      <c r="E280" s="40" t="b">
        <f aca="false">FALSE()</f>
        <v>0</v>
      </c>
      <c r="F280" s="38" t="s">
        <v>44</v>
      </c>
      <c r="G280" s="38" t="n">
        <v>279</v>
      </c>
      <c r="H280" s="39" t="s">
        <v>876</v>
      </c>
      <c r="I280" s="39" t="s">
        <v>46</v>
      </c>
      <c r="J280" s="39" t="s">
        <v>47</v>
      </c>
      <c r="K280" s="41" t="n">
        <f aca="false">IF(E280=TRUE(),1,0)</f>
        <v>0</v>
      </c>
      <c r="L280" s="39"/>
    </row>
    <row r="281" customFormat="false" ht="15" hidden="false" customHeight="true" outlineLevel="0" collapsed="false">
      <c r="A281" s="43" t="n">
        <v>280</v>
      </c>
      <c r="B281" s="44" t="s">
        <v>877</v>
      </c>
      <c r="C281" s="44" t="s">
        <v>878</v>
      </c>
      <c r="D281" s="44" t="s">
        <v>47</v>
      </c>
      <c r="E281" s="45" t="b">
        <f aca="false">FALSE()</f>
        <v>0</v>
      </c>
      <c r="F281" s="43" t="s">
        <v>40</v>
      </c>
      <c r="G281" s="43" t="n">
        <v>280</v>
      </c>
      <c r="H281" s="44" t="s">
        <v>879</v>
      </c>
      <c r="I281" s="44" t="s">
        <v>46</v>
      </c>
      <c r="J281" s="44" t="s">
        <v>37</v>
      </c>
      <c r="K281" s="46" t="n">
        <f aca="false">IF(E281=TRUE(),1,0)</f>
        <v>0</v>
      </c>
      <c r="L281" s="44"/>
    </row>
    <row r="282" customFormat="false" ht="15" hidden="false" customHeight="true" outlineLevel="0" collapsed="false">
      <c r="A282" s="38" t="n">
        <v>281</v>
      </c>
      <c r="B282" s="39" t="s">
        <v>880</v>
      </c>
      <c r="C282" s="39" t="s">
        <v>881</v>
      </c>
      <c r="D282" s="39" t="s">
        <v>37</v>
      </c>
      <c r="E282" s="40" t="b">
        <f aca="false">FALSE()</f>
        <v>0</v>
      </c>
      <c r="F282" s="38" t="s">
        <v>40</v>
      </c>
      <c r="G282" s="38" t="n">
        <v>281</v>
      </c>
      <c r="H282" s="39" t="s">
        <v>882</v>
      </c>
      <c r="I282" s="39" t="s">
        <v>36</v>
      </c>
      <c r="J282" s="39" t="s">
        <v>33</v>
      </c>
      <c r="K282" s="41" t="n">
        <f aca="false">IF(E282=TRUE(),1,0)</f>
        <v>0</v>
      </c>
      <c r="L282" s="39"/>
    </row>
    <row r="283" customFormat="false" ht="15" hidden="false" customHeight="true" outlineLevel="0" collapsed="false">
      <c r="A283" s="43" t="n">
        <v>282</v>
      </c>
      <c r="B283" s="44" t="s">
        <v>883</v>
      </c>
      <c r="C283" s="44" t="s">
        <v>884</v>
      </c>
      <c r="D283" s="44" t="s">
        <v>37</v>
      </c>
      <c r="E283" s="45" t="b">
        <f aca="false">FALSE()</f>
        <v>0</v>
      </c>
      <c r="F283" s="43" t="s">
        <v>44</v>
      </c>
      <c r="G283" s="43" t="n">
        <v>282</v>
      </c>
      <c r="H283" s="44" t="s">
        <v>885</v>
      </c>
      <c r="I283" s="44" t="s">
        <v>46</v>
      </c>
      <c r="J283" s="44" t="s">
        <v>37</v>
      </c>
      <c r="K283" s="46" t="n">
        <f aca="false">IF(E283=TRUE(),1,0)</f>
        <v>0</v>
      </c>
      <c r="L283" s="44"/>
    </row>
    <row r="284" customFormat="false" ht="15" hidden="false" customHeight="true" outlineLevel="0" collapsed="false">
      <c r="A284" s="38" t="n">
        <v>283</v>
      </c>
      <c r="B284" s="39" t="s">
        <v>886</v>
      </c>
      <c r="C284" s="39" t="s">
        <v>887</v>
      </c>
      <c r="D284" s="39" t="s">
        <v>37</v>
      </c>
      <c r="E284" s="40" t="b">
        <f aca="false">FALSE()</f>
        <v>0</v>
      </c>
      <c r="F284" s="38" t="s">
        <v>34</v>
      </c>
      <c r="G284" s="38" t="n">
        <v>283</v>
      </c>
      <c r="H284" s="39" t="s">
        <v>888</v>
      </c>
      <c r="I284" s="39" t="s">
        <v>57</v>
      </c>
      <c r="J284" s="39" t="s">
        <v>37</v>
      </c>
      <c r="K284" s="41" t="n">
        <f aca="false">IF(E284=TRUE(),1,0)</f>
        <v>0</v>
      </c>
      <c r="L284" s="39"/>
    </row>
    <row r="285" customFormat="false" ht="15" hidden="false" customHeight="true" outlineLevel="0" collapsed="false">
      <c r="A285" s="43" t="n">
        <v>284</v>
      </c>
      <c r="B285" s="44" t="s">
        <v>889</v>
      </c>
      <c r="C285" s="44" t="s">
        <v>890</v>
      </c>
      <c r="D285" s="44" t="s">
        <v>47</v>
      </c>
      <c r="E285" s="45" t="b">
        <f aca="false">TRUE()</f>
        <v>1</v>
      </c>
      <c r="F285" s="43" t="s">
        <v>44</v>
      </c>
      <c r="G285" s="43" t="n">
        <v>284</v>
      </c>
      <c r="H285" s="44" t="s">
        <v>891</v>
      </c>
      <c r="I285" s="44" t="s">
        <v>46</v>
      </c>
      <c r="J285" s="44" t="s">
        <v>37</v>
      </c>
      <c r="K285" s="46" t="n">
        <f aca="false">IF(E285=TRUE(),1,0)</f>
        <v>1</v>
      </c>
      <c r="L285" s="47" t="n">
        <v>46218.4214699074</v>
      </c>
    </row>
    <row r="286" customFormat="false" ht="15" hidden="false" customHeight="true" outlineLevel="0" collapsed="false">
      <c r="A286" s="38" t="n">
        <v>285</v>
      </c>
      <c r="B286" s="39" t="s">
        <v>892</v>
      </c>
      <c r="C286" s="39" t="s">
        <v>893</v>
      </c>
      <c r="D286" s="39" t="s">
        <v>37</v>
      </c>
      <c r="E286" s="40" t="b">
        <f aca="false">TRUE()</f>
        <v>1</v>
      </c>
      <c r="F286" s="38" t="s">
        <v>34</v>
      </c>
      <c r="G286" s="38" t="n">
        <v>285</v>
      </c>
      <c r="H286" s="39" t="s">
        <v>894</v>
      </c>
      <c r="I286" s="39" t="s">
        <v>57</v>
      </c>
      <c r="J286" s="39" t="s">
        <v>33</v>
      </c>
      <c r="K286" s="41" t="n">
        <f aca="false">IF(E286=TRUE(),1,0)</f>
        <v>1</v>
      </c>
      <c r="L286" s="42" t="n">
        <v>46218.4236689815</v>
      </c>
    </row>
    <row r="287" customFormat="false" ht="15" hidden="false" customHeight="true" outlineLevel="0" collapsed="false">
      <c r="A287" s="43" t="n">
        <v>286</v>
      </c>
      <c r="B287" s="44" t="s">
        <v>895</v>
      </c>
      <c r="C287" s="44" t="s">
        <v>896</v>
      </c>
      <c r="D287" s="44" t="s">
        <v>33</v>
      </c>
      <c r="E287" s="45" t="b">
        <f aca="false">TRUE()</f>
        <v>1</v>
      </c>
      <c r="F287" s="43" t="s">
        <v>44</v>
      </c>
      <c r="G287" s="43" t="n">
        <v>286</v>
      </c>
      <c r="H287" s="44" t="s">
        <v>897</v>
      </c>
      <c r="I287" s="44" t="s">
        <v>36</v>
      </c>
      <c r="J287" s="44" t="s">
        <v>37</v>
      </c>
      <c r="K287" s="46" t="n">
        <f aca="false">IF(E287=TRUE(),1,0)</f>
        <v>1</v>
      </c>
      <c r="L287" s="47" t="n">
        <v>46218.4259606482</v>
      </c>
    </row>
    <row r="288" customFormat="false" ht="15" hidden="false" customHeight="true" outlineLevel="0" collapsed="false">
      <c r="A288" s="38" t="n">
        <v>287</v>
      </c>
      <c r="B288" s="39" t="s">
        <v>898</v>
      </c>
      <c r="C288" s="39" t="s">
        <v>899</v>
      </c>
      <c r="D288" s="39" t="s">
        <v>37</v>
      </c>
      <c r="E288" s="40" t="b">
        <f aca="false">FALSE()</f>
        <v>0</v>
      </c>
      <c r="F288" s="38" t="s">
        <v>44</v>
      </c>
      <c r="G288" s="38" t="n">
        <v>287</v>
      </c>
      <c r="H288" s="39" t="s">
        <v>900</v>
      </c>
      <c r="I288" s="39" t="s">
        <v>36</v>
      </c>
      <c r="J288" s="39" t="s">
        <v>47</v>
      </c>
      <c r="K288" s="41" t="n">
        <f aca="false">IF(E288=TRUE(),1,0)</f>
        <v>0</v>
      </c>
      <c r="L288" s="39"/>
    </row>
    <row r="289" customFormat="false" ht="15" hidden="false" customHeight="true" outlineLevel="0" collapsed="false">
      <c r="A289" s="43" t="n">
        <v>288</v>
      </c>
      <c r="B289" s="44" t="s">
        <v>901</v>
      </c>
      <c r="C289" s="44" t="s">
        <v>902</v>
      </c>
      <c r="D289" s="44" t="s">
        <v>47</v>
      </c>
      <c r="E289" s="45" t="b">
        <f aca="false">TRUE()</f>
        <v>1</v>
      </c>
      <c r="F289" s="43" t="s">
        <v>34</v>
      </c>
      <c r="G289" s="43" t="n">
        <v>288</v>
      </c>
      <c r="H289" s="44" t="s">
        <v>903</v>
      </c>
      <c r="I289" s="44" t="s">
        <v>46</v>
      </c>
      <c r="J289" s="44" t="s">
        <v>33</v>
      </c>
      <c r="K289" s="46" t="n">
        <f aca="false">IF(E289=TRUE(),1,0)</f>
        <v>1</v>
      </c>
      <c r="L289" s="47" t="n">
        <v>46218.4271064815</v>
      </c>
    </row>
    <row r="290" customFormat="false" ht="15" hidden="false" customHeight="true" outlineLevel="0" collapsed="false">
      <c r="A290" s="38" t="n">
        <v>289</v>
      </c>
      <c r="B290" s="39" t="s">
        <v>904</v>
      </c>
      <c r="C290" s="39" t="s">
        <v>905</v>
      </c>
      <c r="D290" s="39" t="s">
        <v>37</v>
      </c>
      <c r="E290" s="40" t="b">
        <f aca="false">TRUE()</f>
        <v>1</v>
      </c>
      <c r="F290" s="38" t="s">
        <v>40</v>
      </c>
      <c r="G290" s="38" t="n">
        <v>289</v>
      </c>
      <c r="H290" s="39" t="s">
        <v>906</v>
      </c>
      <c r="I290" s="39" t="s">
        <v>46</v>
      </c>
      <c r="J290" s="39" t="s">
        <v>37</v>
      </c>
      <c r="K290" s="41" t="n">
        <f aca="false">IF(E290=TRUE(),1,0)</f>
        <v>1</v>
      </c>
      <c r="L290" s="42" t="n">
        <v>46218.4271759259</v>
      </c>
    </row>
    <row r="291" customFormat="false" ht="15" hidden="false" customHeight="true" outlineLevel="0" collapsed="false">
      <c r="A291" s="43" t="n">
        <v>290</v>
      </c>
      <c r="B291" s="44" t="s">
        <v>907</v>
      </c>
      <c r="C291" s="44" t="s">
        <v>908</v>
      </c>
      <c r="D291" s="44" t="s">
        <v>37</v>
      </c>
      <c r="E291" s="45" t="b">
        <f aca="false">FALSE()</f>
        <v>0</v>
      </c>
      <c r="F291" s="43" t="s">
        <v>40</v>
      </c>
      <c r="G291" s="43" t="n">
        <v>290</v>
      </c>
      <c r="H291" s="44" t="s">
        <v>909</v>
      </c>
      <c r="I291" s="44" t="s">
        <v>57</v>
      </c>
      <c r="J291" s="44" t="s">
        <v>47</v>
      </c>
      <c r="K291" s="46" t="n">
        <f aca="false">IF(E291=TRUE(),1,0)</f>
        <v>0</v>
      </c>
      <c r="L291" s="44"/>
    </row>
    <row r="292" customFormat="false" ht="15" hidden="false" customHeight="true" outlineLevel="0" collapsed="false">
      <c r="A292" s="38" t="n">
        <v>291</v>
      </c>
      <c r="B292" s="39" t="s">
        <v>910</v>
      </c>
      <c r="C292" s="39" t="s">
        <v>911</v>
      </c>
      <c r="D292" s="39" t="s">
        <v>37</v>
      </c>
      <c r="E292" s="40" t="b">
        <f aca="false">FALSE()</f>
        <v>0</v>
      </c>
      <c r="F292" s="38" t="s">
        <v>44</v>
      </c>
      <c r="G292" s="38" t="n">
        <v>291</v>
      </c>
      <c r="H292" s="39" t="s">
        <v>912</v>
      </c>
      <c r="I292" s="39" t="s">
        <v>57</v>
      </c>
      <c r="J292" s="39" t="s">
        <v>33</v>
      </c>
      <c r="K292" s="41" t="n">
        <f aca="false">IF(E292=TRUE(),1,0)</f>
        <v>0</v>
      </c>
      <c r="L292" s="39"/>
    </row>
    <row r="293" customFormat="false" ht="15" hidden="false" customHeight="true" outlineLevel="0" collapsed="false">
      <c r="A293" s="43" t="n">
        <v>292</v>
      </c>
      <c r="B293" s="44" t="s">
        <v>913</v>
      </c>
      <c r="C293" s="44" t="s">
        <v>914</v>
      </c>
      <c r="D293" s="44" t="s">
        <v>47</v>
      </c>
      <c r="E293" s="45" t="b">
        <f aca="false">FALSE()</f>
        <v>0</v>
      </c>
      <c r="F293" s="43" t="s">
        <v>40</v>
      </c>
      <c r="G293" s="43" t="n">
        <v>292</v>
      </c>
      <c r="H293" s="44" t="s">
        <v>915</v>
      </c>
      <c r="I293" s="44" t="s">
        <v>36</v>
      </c>
      <c r="J293" s="44" t="s">
        <v>47</v>
      </c>
      <c r="K293" s="46" t="n">
        <f aca="false">IF(E293=TRUE(),1,0)</f>
        <v>0</v>
      </c>
      <c r="L293" s="44"/>
    </row>
    <row r="294" customFormat="false" ht="15" hidden="false" customHeight="true" outlineLevel="0" collapsed="false">
      <c r="A294" s="38" t="n">
        <v>293</v>
      </c>
      <c r="B294" s="39" t="s">
        <v>916</v>
      </c>
      <c r="C294" s="39" t="s">
        <v>917</v>
      </c>
      <c r="D294" s="39" t="s">
        <v>47</v>
      </c>
      <c r="E294" s="40" t="b">
        <f aca="false">TRUE()</f>
        <v>1</v>
      </c>
      <c r="F294" s="38" t="s">
        <v>44</v>
      </c>
      <c r="G294" s="38" t="n">
        <v>293</v>
      </c>
      <c r="H294" s="39" t="s">
        <v>918</v>
      </c>
      <c r="I294" s="39" t="s">
        <v>46</v>
      </c>
      <c r="J294" s="39" t="s">
        <v>47</v>
      </c>
      <c r="K294" s="41" t="n">
        <f aca="false">IF(E294=TRUE(),1,0)</f>
        <v>1</v>
      </c>
      <c r="L294" s="42" t="n">
        <v>46218.4277083333</v>
      </c>
    </row>
    <row r="295" customFormat="false" ht="15" hidden="false" customHeight="true" outlineLevel="0" collapsed="false">
      <c r="A295" s="43" t="n">
        <v>294</v>
      </c>
      <c r="B295" s="44" t="s">
        <v>919</v>
      </c>
      <c r="C295" s="44" t="s">
        <v>920</v>
      </c>
      <c r="D295" s="44" t="s">
        <v>33</v>
      </c>
      <c r="E295" s="45" t="b">
        <f aca="false">TRUE()</f>
        <v>1</v>
      </c>
      <c r="F295" s="43" t="s">
        <v>34</v>
      </c>
      <c r="G295" s="43" t="n">
        <v>294</v>
      </c>
      <c r="H295" s="44" t="s">
        <v>921</v>
      </c>
      <c r="I295" s="44" t="s">
        <v>46</v>
      </c>
      <c r="J295" s="44" t="s">
        <v>37</v>
      </c>
      <c r="K295" s="46" t="n">
        <f aca="false">IF(E295=TRUE(),1,0)</f>
        <v>1</v>
      </c>
      <c r="L295" s="47" t="n">
        <v>46218.4308449074</v>
      </c>
    </row>
    <row r="296" customFormat="false" ht="15" hidden="false" customHeight="true" outlineLevel="0" collapsed="false">
      <c r="A296" s="38" t="n">
        <v>295</v>
      </c>
      <c r="B296" s="39" t="s">
        <v>922</v>
      </c>
      <c r="C296" s="39" t="s">
        <v>923</v>
      </c>
      <c r="D296" s="39" t="s">
        <v>33</v>
      </c>
      <c r="E296" s="40" t="b">
        <f aca="false">TRUE()</f>
        <v>1</v>
      </c>
      <c r="F296" s="38" t="s">
        <v>40</v>
      </c>
      <c r="G296" s="38" t="n">
        <v>295</v>
      </c>
      <c r="H296" s="39" t="s">
        <v>924</v>
      </c>
      <c r="I296" s="39" t="s">
        <v>46</v>
      </c>
      <c r="J296" s="39" t="s">
        <v>33</v>
      </c>
      <c r="K296" s="41" t="n">
        <f aca="false">IF(E296=TRUE(),1,0)</f>
        <v>1</v>
      </c>
      <c r="L296" s="42" t="n">
        <v>46218.4326157407</v>
      </c>
    </row>
    <row r="297" customFormat="false" ht="15" hidden="false" customHeight="true" outlineLevel="0" collapsed="false">
      <c r="A297" s="43" t="n">
        <v>296</v>
      </c>
      <c r="B297" s="44" t="s">
        <v>925</v>
      </c>
      <c r="C297" s="44" t="s">
        <v>926</v>
      </c>
      <c r="D297" s="44" t="s">
        <v>33</v>
      </c>
      <c r="E297" s="45" t="b">
        <f aca="false">TRUE()</f>
        <v>1</v>
      </c>
      <c r="F297" s="43" t="s">
        <v>40</v>
      </c>
      <c r="G297" s="43" t="n">
        <v>296</v>
      </c>
      <c r="H297" s="44" t="s">
        <v>927</v>
      </c>
      <c r="I297" s="44" t="s">
        <v>46</v>
      </c>
      <c r="J297" s="44" t="s">
        <v>37</v>
      </c>
      <c r="K297" s="46" t="n">
        <f aca="false">IF(E297=TRUE(),1,0)</f>
        <v>1</v>
      </c>
      <c r="L297" s="47" t="n">
        <v>46218.4357060185</v>
      </c>
    </row>
    <row r="298" customFormat="false" ht="15" hidden="false" customHeight="true" outlineLevel="0" collapsed="false">
      <c r="A298" s="38" t="n">
        <v>297</v>
      </c>
      <c r="B298" s="39" t="s">
        <v>928</v>
      </c>
      <c r="C298" s="39" t="s">
        <v>929</v>
      </c>
      <c r="D298" s="39" t="s">
        <v>47</v>
      </c>
      <c r="E298" s="40" t="b">
        <f aca="false">FALSE()</f>
        <v>0</v>
      </c>
      <c r="F298" s="38" t="s">
        <v>44</v>
      </c>
      <c r="G298" s="38" t="n">
        <v>297</v>
      </c>
      <c r="H298" s="39" t="s">
        <v>930</v>
      </c>
      <c r="I298" s="39" t="s">
        <v>46</v>
      </c>
      <c r="J298" s="39" t="s">
        <v>47</v>
      </c>
      <c r="K298" s="41" t="n">
        <f aca="false">IF(E298=TRUE(),1,0)</f>
        <v>0</v>
      </c>
      <c r="L298" s="39"/>
    </row>
    <row r="299" customFormat="false" ht="15" hidden="false" customHeight="true" outlineLevel="0" collapsed="false">
      <c r="A299" s="43" t="n">
        <v>298</v>
      </c>
      <c r="B299" s="44" t="s">
        <v>931</v>
      </c>
      <c r="C299" s="44" t="s">
        <v>932</v>
      </c>
      <c r="D299" s="44" t="s">
        <v>47</v>
      </c>
      <c r="E299" s="45" t="b">
        <f aca="false">TRUE()</f>
        <v>1</v>
      </c>
      <c r="F299" s="43" t="s">
        <v>44</v>
      </c>
      <c r="G299" s="43" t="n">
        <v>298</v>
      </c>
      <c r="H299" s="44" t="s">
        <v>933</v>
      </c>
      <c r="I299" s="44" t="s">
        <v>36</v>
      </c>
      <c r="J299" s="44" t="s">
        <v>33</v>
      </c>
      <c r="K299" s="46" t="n">
        <f aca="false">IF(E299=TRUE(),1,0)</f>
        <v>1</v>
      </c>
      <c r="L299" s="47" t="n">
        <v>46218.4358449074</v>
      </c>
    </row>
    <row r="300" customFormat="false" ht="15" hidden="false" customHeight="true" outlineLevel="0" collapsed="false">
      <c r="A300" s="38" t="n">
        <v>299</v>
      </c>
      <c r="B300" s="39" t="s">
        <v>934</v>
      </c>
      <c r="C300" s="39" t="s">
        <v>935</v>
      </c>
      <c r="D300" s="39" t="s">
        <v>33</v>
      </c>
      <c r="E300" s="40" t="b">
        <f aca="false">FALSE()</f>
        <v>0</v>
      </c>
      <c r="F300" s="38" t="s">
        <v>40</v>
      </c>
      <c r="G300" s="38" t="n">
        <v>299</v>
      </c>
      <c r="H300" s="39" t="s">
        <v>936</v>
      </c>
      <c r="I300" s="39" t="s">
        <v>36</v>
      </c>
      <c r="J300" s="39" t="s">
        <v>47</v>
      </c>
      <c r="K300" s="41" t="n">
        <f aca="false">IF(E300=TRUE(),1,0)</f>
        <v>0</v>
      </c>
      <c r="L300" s="39"/>
    </row>
    <row r="301" customFormat="false" ht="15" hidden="false" customHeight="true" outlineLevel="0" collapsed="false">
      <c r="A301" s="43" t="n">
        <v>300</v>
      </c>
      <c r="B301" s="44" t="s">
        <v>937</v>
      </c>
      <c r="C301" s="44" t="s">
        <v>938</v>
      </c>
      <c r="D301" s="44" t="s">
        <v>33</v>
      </c>
      <c r="E301" s="45" t="b">
        <f aca="false">FALSE()</f>
        <v>0</v>
      </c>
      <c r="F301" s="43" t="s">
        <v>34</v>
      </c>
      <c r="G301" s="43" t="n">
        <v>300</v>
      </c>
      <c r="H301" s="44" t="s">
        <v>939</v>
      </c>
      <c r="I301" s="44" t="s">
        <v>36</v>
      </c>
      <c r="J301" s="44" t="s">
        <v>47</v>
      </c>
      <c r="K301" s="46" t="n">
        <f aca="false">IF(E301=TRUE(),1,0)</f>
        <v>0</v>
      </c>
      <c r="L301" s="44"/>
    </row>
    <row r="302" customFormat="false" ht="15" hidden="false" customHeight="true" outlineLevel="0" collapsed="false">
      <c r="A302" s="38" t="n">
        <v>301</v>
      </c>
      <c r="B302" s="39" t="s">
        <v>940</v>
      </c>
      <c r="C302" s="39" t="s">
        <v>941</v>
      </c>
      <c r="D302" s="39" t="s">
        <v>37</v>
      </c>
      <c r="E302" s="40" t="b">
        <f aca="false">FALSE()</f>
        <v>0</v>
      </c>
      <c r="F302" s="38" t="s">
        <v>34</v>
      </c>
      <c r="G302" s="38" t="n">
        <v>301</v>
      </c>
      <c r="H302" s="39" t="s">
        <v>942</v>
      </c>
      <c r="I302" s="39" t="s">
        <v>46</v>
      </c>
      <c r="J302" s="39" t="s">
        <v>47</v>
      </c>
      <c r="K302" s="41" t="n">
        <f aca="false">IF(E302=TRUE(),1,0)</f>
        <v>0</v>
      </c>
      <c r="L302" s="39"/>
    </row>
    <row r="303" customFormat="false" ht="15" hidden="false" customHeight="true" outlineLevel="0" collapsed="false">
      <c r="A303" s="43" t="n">
        <v>302</v>
      </c>
      <c r="B303" s="44" t="s">
        <v>943</v>
      </c>
      <c r="C303" s="44" t="s">
        <v>944</v>
      </c>
      <c r="D303" s="44" t="s">
        <v>47</v>
      </c>
      <c r="E303" s="45" t="b">
        <f aca="false">FALSE()</f>
        <v>0</v>
      </c>
      <c r="F303" s="43" t="s">
        <v>40</v>
      </c>
      <c r="G303" s="43" t="n">
        <v>302</v>
      </c>
      <c r="H303" s="44" t="s">
        <v>945</v>
      </c>
      <c r="I303" s="44" t="s">
        <v>46</v>
      </c>
      <c r="J303" s="44" t="s">
        <v>47</v>
      </c>
      <c r="K303" s="46" t="n">
        <f aca="false">IF(E303=TRUE(),1,0)</f>
        <v>0</v>
      </c>
      <c r="L303" s="44"/>
    </row>
    <row r="304" customFormat="false" ht="15" hidden="false" customHeight="true" outlineLevel="0" collapsed="false">
      <c r="A304" s="38" t="n">
        <v>303</v>
      </c>
      <c r="B304" s="39" t="s">
        <v>946</v>
      </c>
      <c r="C304" s="39" t="s">
        <v>947</v>
      </c>
      <c r="D304" s="39" t="s">
        <v>47</v>
      </c>
      <c r="E304" s="40" t="b">
        <f aca="false">FALSE()</f>
        <v>0</v>
      </c>
      <c r="F304" s="38" t="s">
        <v>44</v>
      </c>
      <c r="G304" s="38" t="n">
        <v>303</v>
      </c>
      <c r="H304" s="39" t="s">
        <v>948</v>
      </c>
      <c r="I304" s="39" t="s">
        <v>57</v>
      </c>
      <c r="J304" s="39" t="s">
        <v>37</v>
      </c>
      <c r="K304" s="41" t="n">
        <f aca="false">IF(E304=TRUE(),1,0)</f>
        <v>0</v>
      </c>
      <c r="L304" s="39"/>
    </row>
    <row r="305" customFormat="false" ht="15" hidden="false" customHeight="true" outlineLevel="0" collapsed="false">
      <c r="A305" s="43" t="n">
        <v>304</v>
      </c>
      <c r="B305" s="44" t="s">
        <v>949</v>
      </c>
      <c r="C305" s="44" t="s">
        <v>950</v>
      </c>
      <c r="D305" s="44" t="s">
        <v>33</v>
      </c>
      <c r="E305" s="45" t="b">
        <f aca="false">FALSE()</f>
        <v>0</v>
      </c>
      <c r="F305" s="43" t="s">
        <v>34</v>
      </c>
      <c r="G305" s="43" t="n">
        <v>304</v>
      </c>
      <c r="H305" s="44" t="s">
        <v>951</v>
      </c>
      <c r="I305" s="44" t="s">
        <v>46</v>
      </c>
      <c r="J305" s="44" t="s">
        <v>37</v>
      </c>
      <c r="K305" s="46" t="n">
        <f aca="false">IF(E305=TRUE(),1,0)</f>
        <v>0</v>
      </c>
      <c r="L305" s="44"/>
    </row>
    <row r="306" customFormat="false" ht="15" hidden="false" customHeight="true" outlineLevel="0" collapsed="false">
      <c r="A306" s="38" t="n">
        <v>305</v>
      </c>
      <c r="B306" s="39" t="s">
        <v>952</v>
      </c>
      <c r="C306" s="39" t="s">
        <v>953</v>
      </c>
      <c r="D306" s="39" t="s">
        <v>47</v>
      </c>
      <c r="E306" s="40" t="b">
        <f aca="false">TRUE()</f>
        <v>1</v>
      </c>
      <c r="F306" s="38" t="s">
        <v>34</v>
      </c>
      <c r="G306" s="38" t="n">
        <v>305</v>
      </c>
      <c r="H306" s="39" t="s">
        <v>954</v>
      </c>
      <c r="I306" s="39" t="s">
        <v>46</v>
      </c>
      <c r="J306" s="39" t="s">
        <v>47</v>
      </c>
      <c r="K306" s="41" t="n">
        <f aca="false">IF(E306=TRUE(),1,0)</f>
        <v>1</v>
      </c>
      <c r="L306" s="42" t="n">
        <v>46218.4359375</v>
      </c>
    </row>
    <row r="307" customFormat="false" ht="15" hidden="false" customHeight="true" outlineLevel="0" collapsed="false">
      <c r="A307" s="43" t="n">
        <v>306</v>
      </c>
      <c r="B307" s="44" t="s">
        <v>955</v>
      </c>
      <c r="C307" s="44" t="s">
        <v>956</v>
      </c>
      <c r="D307" s="44" t="s">
        <v>47</v>
      </c>
      <c r="E307" s="45" t="b">
        <f aca="false">FALSE()</f>
        <v>0</v>
      </c>
      <c r="F307" s="43" t="s">
        <v>44</v>
      </c>
      <c r="G307" s="43" t="n">
        <v>306</v>
      </c>
      <c r="H307" s="44" t="s">
        <v>957</v>
      </c>
      <c r="I307" s="44" t="s">
        <v>57</v>
      </c>
      <c r="J307" s="44" t="s">
        <v>37</v>
      </c>
      <c r="K307" s="46" t="n">
        <f aca="false">IF(E307=TRUE(),1,0)</f>
        <v>0</v>
      </c>
      <c r="L307" s="44"/>
    </row>
    <row r="308" customFormat="false" ht="15" hidden="false" customHeight="true" outlineLevel="0" collapsed="false">
      <c r="A308" s="38" t="n">
        <v>307</v>
      </c>
      <c r="B308" s="39" t="s">
        <v>958</v>
      </c>
      <c r="C308" s="39" t="s">
        <v>959</v>
      </c>
      <c r="D308" s="39" t="s">
        <v>37</v>
      </c>
      <c r="E308" s="40" t="b">
        <f aca="false">FALSE()</f>
        <v>0</v>
      </c>
      <c r="F308" s="38" t="s">
        <v>44</v>
      </c>
      <c r="G308" s="38" t="n">
        <v>307</v>
      </c>
      <c r="H308" s="39" t="s">
        <v>960</v>
      </c>
      <c r="I308" s="39" t="s">
        <v>46</v>
      </c>
      <c r="J308" s="39" t="s">
        <v>37</v>
      </c>
      <c r="K308" s="41" t="n">
        <f aca="false">IF(E308=TRUE(),1,0)</f>
        <v>0</v>
      </c>
      <c r="L308" s="39"/>
    </row>
    <row r="309" customFormat="false" ht="15" hidden="false" customHeight="true" outlineLevel="0" collapsed="false">
      <c r="A309" s="43" t="n">
        <v>308</v>
      </c>
      <c r="B309" s="44" t="s">
        <v>961</v>
      </c>
      <c r="C309" s="44" t="s">
        <v>962</v>
      </c>
      <c r="D309" s="44" t="s">
        <v>37</v>
      </c>
      <c r="E309" s="45" t="b">
        <f aca="false">FALSE()</f>
        <v>0</v>
      </c>
      <c r="F309" s="43" t="s">
        <v>34</v>
      </c>
      <c r="G309" s="43" t="n">
        <v>308</v>
      </c>
      <c r="H309" s="44" t="s">
        <v>963</v>
      </c>
      <c r="I309" s="44" t="s">
        <v>46</v>
      </c>
      <c r="J309" s="44" t="s">
        <v>37</v>
      </c>
      <c r="K309" s="46" t="n">
        <f aca="false">IF(E309=TRUE(),1,0)</f>
        <v>0</v>
      </c>
      <c r="L309" s="44"/>
    </row>
    <row r="310" customFormat="false" ht="15" hidden="false" customHeight="true" outlineLevel="0" collapsed="false">
      <c r="A310" s="38" t="n">
        <v>309</v>
      </c>
      <c r="B310" s="39" t="s">
        <v>964</v>
      </c>
      <c r="C310" s="39" t="s">
        <v>965</v>
      </c>
      <c r="D310" s="39" t="s">
        <v>33</v>
      </c>
      <c r="E310" s="40" t="b">
        <f aca="false">FALSE()</f>
        <v>0</v>
      </c>
      <c r="F310" s="38" t="s">
        <v>40</v>
      </c>
      <c r="G310" s="38" t="n">
        <v>309</v>
      </c>
      <c r="H310" s="39" t="s">
        <v>966</v>
      </c>
      <c r="I310" s="39" t="s">
        <v>36</v>
      </c>
      <c r="J310" s="39" t="s">
        <v>37</v>
      </c>
      <c r="K310" s="41" t="n">
        <f aca="false">IF(E310=TRUE(),1,0)</f>
        <v>0</v>
      </c>
      <c r="L310" s="39"/>
    </row>
    <row r="311" customFormat="false" ht="15" hidden="false" customHeight="true" outlineLevel="0" collapsed="false">
      <c r="A311" s="43" t="n">
        <v>310</v>
      </c>
      <c r="B311" s="44" t="s">
        <v>967</v>
      </c>
      <c r="C311" s="44" t="s">
        <v>968</v>
      </c>
      <c r="D311" s="44" t="s">
        <v>37</v>
      </c>
      <c r="E311" s="45" t="b">
        <f aca="false">FALSE()</f>
        <v>0</v>
      </c>
      <c r="F311" s="43" t="s">
        <v>34</v>
      </c>
      <c r="G311" s="43" t="n">
        <v>310</v>
      </c>
      <c r="H311" s="44" t="s">
        <v>969</v>
      </c>
      <c r="I311" s="44" t="s">
        <v>57</v>
      </c>
      <c r="J311" s="44" t="s">
        <v>37</v>
      </c>
      <c r="K311" s="46" t="n">
        <f aca="false">IF(E311=TRUE(),1,0)</f>
        <v>0</v>
      </c>
      <c r="L311" s="44"/>
    </row>
    <row r="312" customFormat="false" ht="15" hidden="false" customHeight="true" outlineLevel="0" collapsed="false">
      <c r="A312" s="38" t="n">
        <v>311</v>
      </c>
      <c r="B312" s="39" t="s">
        <v>970</v>
      </c>
      <c r="C312" s="39" t="s">
        <v>971</v>
      </c>
      <c r="D312" s="39" t="s">
        <v>33</v>
      </c>
      <c r="E312" s="40" t="b">
        <f aca="false">TRUE()</f>
        <v>1</v>
      </c>
      <c r="F312" s="38" t="s">
        <v>40</v>
      </c>
      <c r="G312" s="38" t="n">
        <v>311</v>
      </c>
      <c r="H312" s="39" t="s">
        <v>972</v>
      </c>
      <c r="I312" s="39" t="s">
        <v>46</v>
      </c>
      <c r="J312" s="39" t="s">
        <v>33</v>
      </c>
      <c r="K312" s="41" t="n">
        <f aca="false">IF(E312=TRUE(),1,0)</f>
        <v>1</v>
      </c>
      <c r="L312" s="42" t="n">
        <v>46218.436087963</v>
      </c>
    </row>
    <row r="313" customFormat="false" ht="15" hidden="false" customHeight="true" outlineLevel="0" collapsed="false">
      <c r="A313" s="43" t="n">
        <v>312</v>
      </c>
      <c r="B313" s="44" t="s">
        <v>973</v>
      </c>
      <c r="C313" s="44" t="s">
        <v>974</v>
      </c>
      <c r="D313" s="44" t="s">
        <v>47</v>
      </c>
      <c r="E313" s="45" t="b">
        <f aca="false">FALSE()</f>
        <v>0</v>
      </c>
      <c r="F313" s="43" t="s">
        <v>34</v>
      </c>
      <c r="G313" s="43" t="n">
        <v>312</v>
      </c>
      <c r="H313" s="44" t="s">
        <v>975</v>
      </c>
      <c r="I313" s="44" t="s">
        <v>57</v>
      </c>
      <c r="J313" s="44" t="s">
        <v>37</v>
      </c>
      <c r="K313" s="46" t="n">
        <f aca="false">IF(E313=TRUE(),1,0)</f>
        <v>0</v>
      </c>
      <c r="L313" s="44"/>
    </row>
    <row r="314" customFormat="false" ht="15" hidden="false" customHeight="true" outlineLevel="0" collapsed="false">
      <c r="A314" s="38" t="n">
        <v>313</v>
      </c>
      <c r="B314" s="39" t="s">
        <v>976</v>
      </c>
      <c r="C314" s="39" t="s">
        <v>977</v>
      </c>
      <c r="D314" s="39" t="s">
        <v>37</v>
      </c>
      <c r="E314" s="40" t="b">
        <f aca="false">FALSE()</f>
        <v>0</v>
      </c>
      <c r="F314" s="38" t="s">
        <v>40</v>
      </c>
      <c r="G314" s="38" t="n">
        <v>313</v>
      </c>
      <c r="H314" s="39" t="s">
        <v>978</v>
      </c>
      <c r="I314" s="39" t="s">
        <v>57</v>
      </c>
      <c r="J314" s="39" t="s">
        <v>33</v>
      </c>
      <c r="K314" s="41" t="n">
        <f aca="false">IF(E314=TRUE(),1,0)</f>
        <v>0</v>
      </c>
      <c r="L314" s="39"/>
    </row>
    <row r="315" customFormat="false" ht="15" hidden="false" customHeight="true" outlineLevel="0" collapsed="false">
      <c r="A315" s="43" t="n">
        <v>314</v>
      </c>
      <c r="B315" s="44" t="s">
        <v>979</v>
      </c>
      <c r="C315" s="44" t="s">
        <v>980</v>
      </c>
      <c r="D315" s="44" t="s">
        <v>33</v>
      </c>
      <c r="E315" s="45" t="b">
        <f aca="false">FALSE()</f>
        <v>0</v>
      </c>
      <c r="F315" s="43" t="s">
        <v>40</v>
      </c>
      <c r="G315" s="43" t="n">
        <v>314</v>
      </c>
      <c r="H315" s="44" t="s">
        <v>981</v>
      </c>
      <c r="I315" s="44" t="s">
        <v>46</v>
      </c>
      <c r="J315" s="44" t="s">
        <v>37</v>
      </c>
      <c r="K315" s="46" t="n">
        <f aca="false">IF(E315=TRUE(),1,0)</f>
        <v>0</v>
      </c>
      <c r="L315" s="44"/>
    </row>
    <row r="316" customFormat="false" ht="15" hidden="false" customHeight="true" outlineLevel="0" collapsed="false">
      <c r="A316" s="38" t="n">
        <v>315</v>
      </c>
      <c r="B316" s="39" t="s">
        <v>982</v>
      </c>
      <c r="C316" s="39" t="s">
        <v>983</v>
      </c>
      <c r="D316" s="39" t="s">
        <v>47</v>
      </c>
      <c r="E316" s="40" t="b">
        <f aca="false">TRUE()</f>
        <v>1</v>
      </c>
      <c r="F316" s="38" t="s">
        <v>40</v>
      </c>
      <c r="G316" s="38" t="n">
        <v>315</v>
      </c>
      <c r="H316" s="39" t="s">
        <v>984</v>
      </c>
      <c r="I316" s="39" t="s">
        <v>46</v>
      </c>
      <c r="J316" s="39" t="s">
        <v>33</v>
      </c>
      <c r="K316" s="41" t="n">
        <f aca="false">IF(E316=TRUE(),1,0)</f>
        <v>1</v>
      </c>
      <c r="L316" s="42" t="n">
        <v>46218.4369907407</v>
      </c>
    </row>
    <row r="317" customFormat="false" ht="15" hidden="false" customHeight="true" outlineLevel="0" collapsed="false">
      <c r="A317" s="43" t="n">
        <v>316</v>
      </c>
      <c r="B317" s="44" t="s">
        <v>985</v>
      </c>
      <c r="C317" s="44" t="s">
        <v>986</v>
      </c>
      <c r="D317" s="44" t="s">
        <v>37</v>
      </c>
      <c r="E317" s="45" t="b">
        <f aca="false">TRUE()</f>
        <v>1</v>
      </c>
      <c r="F317" s="43" t="s">
        <v>34</v>
      </c>
      <c r="G317" s="43" t="n">
        <v>316</v>
      </c>
      <c r="H317" s="44" t="s">
        <v>987</v>
      </c>
      <c r="I317" s="44" t="s">
        <v>36</v>
      </c>
      <c r="J317" s="44" t="s">
        <v>37</v>
      </c>
      <c r="K317" s="46" t="n">
        <f aca="false">IF(E317=TRUE(),1,0)</f>
        <v>1</v>
      </c>
      <c r="L317" s="47" t="n">
        <v>46218.4371759259</v>
      </c>
    </row>
    <row r="318" customFormat="false" ht="15" hidden="false" customHeight="true" outlineLevel="0" collapsed="false">
      <c r="A318" s="38" t="n">
        <v>317</v>
      </c>
      <c r="B318" s="39" t="s">
        <v>988</v>
      </c>
      <c r="C318" s="39" t="s">
        <v>989</v>
      </c>
      <c r="D318" s="39" t="s">
        <v>37</v>
      </c>
      <c r="E318" s="40" t="b">
        <f aca="false">FALSE()</f>
        <v>0</v>
      </c>
      <c r="F318" s="38" t="s">
        <v>40</v>
      </c>
      <c r="G318" s="38" t="n">
        <v>317</v>
      </c>
      <c r="H318" s="39" t="s">
        <v>990</v>
      </c>
      <c r="I318" s="39" t="s">
        <v>46</v>
      </c>
      <c r="J318" s="39" t="s">
        <v>33</v>
      </c>
      <c r="K318" s="41" t="n">
        <f aca="false">IF(E318=TRUE(),1,0)</f>
        <v>0</v>
      </c>
      <c r="L318" s="39"/>
    </row>
    <row r="319" customFormat="false" ht="15" hidden="false" customHeight="true" outlineLevel="0" collapsed="false">
      <c r="A319" s="43" t="n">
        <v>318</v>
      </c>
      <c r="B319" s="44" t="s">
        <v>991</v>
      </c>
      <c r="C319" s="44" t="s">
        <v>992</v>
      </c>
      <c r="D319" s="44" t="s">
        <v>47</v>
      </c>
      <c r="E319" s="45" t="b">
        <f aca="false">FALSE()</f>
        <v>0</v>
      </c>
      <c r="F319" s="43" t="s">
        <v>34</v>
      </c>
      <c r="G319" s="43" t="n">
        <v>318</v>
      </c>
      <c r="H319" s="44" t="s">
        <v>993</v>
      </c>
      <c r="I319" s="44" t="s">
        <v>46</v>
      </c>
      <c r="J319" s="44" t="s">
        <v>33</v>
      </c>
      <c r="K319" s="46" t="n">
        <f aca="false">IF(E319=TRUE(),1,0)</f>
        <v>0</v>
      </c>
      <c r="L319" s="44"/>
    </row>
    <row r="320" customFormat="false" ht="15" hidden="false" customHeight="true" outlineLevel="0" collapsed="false">
      <c r="A320" s="38" t="n">
        <v>319</v>
      </c>
      <c r="B320" s="39" t="s">
        <v>994</v>
      </c>
      <c r="C320" s="39" t="s">
        <v>995</v>
      </c>
      <c r="D320" s="39" t="s">
        <v>47</v>
      </c>
      <c r="E320" s="40" t="b">
        <f aca="false">FALSE()</f>
        <v>0</v>
      </c>
      <c r="F320" s="38" t="s">
        <v>34</v>
      </c>
      <c r="G320" s="38" t="n">
        <v>319</v>
      </c>
      <c r="H320" s="39" t="s">
        <v>996</v>
      </c>
      <c r="I320" s="39" t="s">
        <v>57</v>
      </c>
      <c r="J320" s="39" t="s">
        <v>33</v>
      </c>
      <c r="K320" s="41" t="n">
        <f aca="false">IF(E320=TRUE(),1,0)</f>
        <v>0</v>
      </c>
      <c r="L320" s="39"/>
    </row>
    <row r="321" customFormat="false" ht="15" hidden="false" customHeight="true" outlineLevel="0" collapsed="false">
      <c r="A321" s="43" t="n">
        <v>320</v>
      </c>
      <c r="B321" s="44" t="s">
        <v>997</v>
      </c>
      <c r="C321" s="44" t="s">
        <v>998</v>
      </c>
      <c r="D321" s="44" t="s">
        <v>33</v>
      </c>
      <c r="E321" s="45" t="b">
        <f aca="false">TRUE()</f>
        <v>1</v>
      </c>
      <c r="F321" s="43" t="s">
        <v>34</v>
      </c>
      <c r="G321" s="43" t="n">
        <v>320</v>
      </c>
      <c r="H321" s="44" t="s">
        <v>999</v>
      </c>
      <c r="I321" s="44" t="s">
        <v>46</v>
      </c>
      <c r="J321" s="44" t="s">
        <v>33</v>
      </c>
      <c r="K321" s="46" t="n">
        <f aca="false">IF(E321=TRUE(),1,0)</f>
        <v>1</v>
      </c>
      <c r="L321" s="47" t="n">
        <v>46218.4375115741</v>
      </c>
    </row>
    <row r="322" customFormat="false" ht="15" hidden="false" customHeight="true" outlineLevel="0" collapsed="false">
      <c r="A322" s="38" t="n">
        <v>321</v>
      </c>
      <c r="B322" s="39" t="s">
        <v>1000</v>
      </c>
      <c r="C322" s="39" t="s">
        <v>1001</v>
      </c>
      <c r="D322" s="39" t="s">
        <v>33</v>
      </c>
      <c r="E322" s="40" t="b">
        <f aca="false">FALSE()</f>
        <v>0</v>
      </c>
      <c r="F322" s="38" t="s">
        <v>40</v>
      </c>
      <c r="G322" s="38" t="n">
        <v>321</v>
      </c>
      <c r="H322" s="39" t="s">
        <v>1002</v>
      </c>
      <c r="I322" s="39" t="s">
        <v>57</v>
      </c>
      <c r="J322" s="39" t="s">
        <v>33</v>
      </c>
      <c r="K322" s="41" t="n">
        <f aca="false">IF(E322=TRUE(),1,0)</f>
        <v>0</v>
      </c>
      <c r="L322" s="39"/>
    </row>
    <row r="323" customFormat="false" ht="15" hidden="false" customHeight="true" outlineLevel="0" collapsed="false">
      <c r="A323" s="43" t="n">
        <v>322</v>
      </c>
      <c r="B323" s="44" t="s">
        <v>1003</v>
      </c>
      <c r="C323" s="44" t="s">
        <v>1004</v>
      </c>
      <c r="D323" s="44" t="s">
        <v>37</v>
      </c>
      <c r="E323" s="45" t="b">
        <f aca="false">TRUE()</f>
        <v>1</v>
      </c>
      <c r="F323" s="43" t="s">
        <v>44</v>
      </c>
      <c r="G323" s="43" t="n">
        <v>322</v>
      </c>
      <c r="H323" s="44" t="s">
        <v>1005</v>
      </c>
      <c r="I323" s="44" t="s">
        <v>36</v>
      </c>
      <c r="J323" s="44" t="s">
        <v>37</v>
      </c>
      <c r="K323" s="46" t="n">
        <f aca="false">IF(E323=TRUE(),1,0)</f>
        <v>1</v>
      </c>
      <c r="L323" s="47" t="n">
        <v>46218.4381481482</v>
      </c>
    </row>
    <row r="324" customFormat="false" ht="15" hidden="false" customHeight="true" outlineLevel="0" collapsed="false">
      <c r="A324" s="38" t="n">
        <v>323</v>
      </c>
      <c r="B324" s="39" t="s">
        <v>1006</v>
      </c>
      <c r="C324" s="39" t="s">
        <v>1007</v>
      </c>
      <c r="D324" s="39" t="s">
        <v>37</v>
      </c>
      <c r="E324" s="40" t="b">
        <f aca="false">FALSE()</f>
        <v>0</v>
      </c>
      <c r="F324" s="38" t="s">
        <v>34</v>
      </c>
      <c r="G324" s="38" t="n">
        <v>323</v>
      </c>
      <c r="H324" s="39" t="s">
        <v>1008</v>
      </c>
      <c r="I324" s="39" t="s">
        <v>57</v>
      </c>
      <c r="J324" s="39" t="s">
        <v>33</v>
      </c>
      <c r="K324" s="41" t="n">
        <f aca="false">IF(E324=TRUE(),1,0)</f>
        <v>0</v>
      </c>
      <c r="L324" s="39"/>
    </row>
    <row r="325" customFormat="false" ht="15" hidden="false" customHeight="true" outlineLevel="0" collapsed="false">
      <c r="A325" s="43" t="n">
        <v>324</v>
      </c>
      <c r="B325" s="44" t="s">
        <v>1009</v>
      </c>
      <c r="C325" s="44" t="s">
        <v>1010</v>
      </c>
      <c r="D325" s="44" t="s">
        <v>47</v>
      </c>
      <c r="E325" s="45" t="b">
        <f aca="false">TRUE()</f>
        <v>1</v>
      </c>
      <c r="F325" s="43" t="s">
        <v>44</v>
      </c>
      <c r="G325" s="43" t="n">
        <v>324</v>
      </c>
      <c r="H325" s="44" t="s">
        <v>1011</v>
      </c>
      <c r="I325" s="44" t="s">
        <v>36</v>
      </c>
      <c r="J325" s="44" t="s">
        <v>33</v>
      </c>
      <c r="K325" s="46" t="n">
        <f aca="false">IF(E325=TRUE(),1,0)</f>
        <v>1</v>
      </c>
      <c r="L325" s="47" t="n">
        <v>46218.4411111111</v>
      </c>
    </row>
    <row r="326" customFormat="false" ht="15" hidden="false" customHeight="true" outlineLevel="0" collapsed="false">
      <c r="A326" s="38" t="n">
        <v>325</v>
      </c>
      <c r="B326" s="39" t="s">
        <v>1012</v>
      </c>
      <c r="C326" s="39" t="s">
        <v>1013</v>
      </c>
      <c r="D326" s="39" t="s">
        <v>47</v>
      </c>
      <c r="E326" s="40" t="b">
        <f aca="false">TRUE()</f>
        <v>1</v>
      </c>
      <c r="F326" s="38" t="s">
        <v>44</v>
      </c>
      <c r="G326" s="38" t="n">
        <v>325</v>
      </c>
      <c r="H326" s="39" t="s">
        <v>1014</v>
      </c>
      <c r="I326" s="39" t="s">
        <v>57</v>
      </c>
      <c r="J326" s="39" t="s">
        <v>33</v>
      </c>
      <c r="K326" s="41" t="n">
        <f aca="false">IF(E326=TRUE(),1,0)</f>
        <v>1</v>
      </c>
      <c r="L326" s="42" t="n">
        <v>46218.4424884259</v>
      </c>
    </row>
    <row r="327" customFormat="false" ht="15" hidden="false" customHeight="true" outlineLevel="0" collapsed="false">
      <c r="A327" s="43" t="n">
        <v>326</v>
      </c>
      <c r="B327" s="44" t="s">
        <v>1015</v>
      </c>
      <c r="C327" s="44" t="s">
        <v>1016</v>
      </c>
      <c r="D327" s="44" t="s">
        <v>47</v>
      </c>
      <c r="E327" s="45" t="b">
        <f aca="false">FALSE()</f>
        <v>0</v>
      </c>
      <c r="F327" s="43" t="s">
        <v>44</v>
      </c>
      <c r="G327" s="43" t="n">
        <v>326</v>
      </c>
      <c r="H327" s="44" t="s">
        <v>1017</v>
      </c>
      <c r="I327" s="44" t="s">
        <v>36</v>
      </c>
      <c r="J327" s="44" t="s">
        <v>37</v>
      </c>
      <c r="K327" s="46" t="n">
        <f aca="false">IF(E327=TRUE(),1,0)</f>
        <v>0</v>
      </c>
      <c r="L327" s="44"/>
    </row>
    <row r="328" customFormat="false" ht="15" hidden="false" customHeight="true" outlineLevel="0" collapsed="false">
      <c r="A328" s="38" t="n">
        <v>327</v>
      </c>
      <c r="B328" s="39" t="s">
        <v>1018</v>
      </c>
      <c r="C328" s="39" t="s">
        <v>1019</v>
      </c>
      <c r="D328" s="39" t="s">
        <v>33</v>
      </c>
      <c r="E328" s="40" t="b">
        <f aca="false">TRUE()</f>
        <v>1</v>
      </c>
      <c r="F328" s="38" t="s">
        <v>44</v>
      </c>
      <c r="G328" s="38" t="n">
        <v>327</v>
      </c>
      <c r="H328" s="39" t="s">
        <v>1020</v>
      </c>
      <c r="I328" s="39" t="s">
        <v>46</v>
      </c>
      <c r="J328" s="39" t="s">
        <v>37</v>
      </c>
      <c r="K328" s="41" t="n">
        <f aca="false">IF(E328=TRUE(),1,0)</f>
        <v>1</v>
      </c>
      <c r="L328" s="42" t="n">
        <v>46218.4425347222</v>
      </c>
    </row>
    <row r="329" customFormat="false" ht="15" hidden="false" customHeight="true" outlineLevel="0" collapsed="false">
      <c r="A329" s="43" t="n">
        <v>328</v>
      </c>
      <c r="B329" s="44" t="s">
        <v>1021</v>
      </c>
      <c r="C329" s="44" t="s">
        <v>1022</v>
      </c>
      <c r="D329" s="44" t="s">
        <v>37</v>
      </c>
      <c r="E329" s="45" t="b">
        <f aca="false">TRUE()</f>
        <v>1</v>
      </c>
      <c r="F329" s="43" t="s">
        <v>34</v>
      </c>
      <c r="G329" s="43" t="n">
        <v>328</v>
      </c>
      <c r="H329" s="44" t="s">
        <v>1023</v>
      </c>
      <c r="I329" s="44" t="s">
        <v>36</v>
      </c>
      <c r="J329" s="44" t="s">
        <v>47</v>
      </c>
      <c r="K329" s="46" t="n">
        <f aca="false">IF(E329=TRUE(),1,0)</f>
        <v>1</v>
      </c>
      <c r="L329" s="47" t="n">
        <v>46218.4430439815</v>
      </c>
    </row>
    <row r="330" customFormat="false" ht="15" hidden="false" customHeight="true" outlineLevel="0" collapsed="false">
      <c r="A330" s="38" t="n">
        <v>329</v>
      </c>
      <c r="B330" s="39" t="s">
        <v>1024</v>
      </c>
      <c r="C330" s="39" t="s">
        <v>1025</v>
      </c>
      <c r="D330" s="39" t="s">
        <v>37</v>
      </c>
      <c r="E330" s="40" t="b">
        <f aca="false">FALSE()</f>
        <v>0</v>
      </c>
      <c r="F330" s="38" t="s">
        <v>40</v>
      </c>
      <c r="G330" s="38" t="n">
        <v>329</v>
      </c>
      <c r="H330" s="39" t="s">
        <v>1026</v>
      </c>
      <c r="I330" s="39" t="s">
        <v>46</v>
      </c>
      <c r="J330" s="39" t="s">
        <v>33</v>
      </c>
      <c r="K330" s="41" t="n">
        <f aca="false">IF(E330=TRUE(),1,0)</f>
        <v>0</v>
      </c>
      <c r="L330" s="39"/>
    </row>
    <row r="331" customFormat="false" ht="15" hidden="false" customHeight="true" outlineLevel="0" collapsed="false">
      <c r="A331" s="43" t="n">
        <v>330</v>
      </c>
      <c r="B331" s="44" t="s">
        <v>1027</v>
      </c>
      <c r="C331" s="44" t="s">
        <v>1028</v>
      </c>
      <c r="D331" s="44" t="s">
        <v>37</v>
      </c>
      <c r="E331" s="45" t="b">
        <f aca="false">FALSE()</f>
        <v>0</v>
      </c>
      <c r="F331" s="43" t="s">
        <v>44</v>
      </c>
      <c r="G331" s="43" t="n">
        <v>330</v>
      </c>
      <c r="H331" s="44" t="s">
        <v>1029</v>
      </c>
      <c r="I331" s="44" t="s">
        <v>57</v>
      </c>
      <c r="J331" s="44" t="s">
        <v>33</v>
      </c>
      <c r="K331" s="46" t="n">
        <f aca="false">IF(E331=TRUE(),1,0)</f>
        <v>0</v>
      </c>
      <c r="L331" s="44"/>
    </row>
    <row r="332" customFormat="false" ht="15" hidden="false" customHeight="true" outlineLevel="0" collapsed="false">
      <c r="A332" s="38" t="n">
        <v>331</v>
      </c>
      <c r="B332" s="39" t="s">
        <v>1030</v>
      </c>
      <c r="C332" s="39" t="s">
        <v>1031</v>
      </c>
      <c r="D332" s="39" t="s">
        <v>47</v>
      </c>
      <c r="E332" s="40" t="b">
        <f aca="false">FALSE()</f>
        <v>0</v>
      </c>
      <c r="F332" s="38" t="s">
        <v>44</v>
      </c>
      <c r="G332" s="38" t="n">
        <v>331</v>
      </c>
      <c r="H332" s="39" t="s">
        <v>1032</v>
      </c>
      <c r="I332" s="39" t="s">
        <v>36</v>
      </c>
      <c r="J332" s="39" t="s">
        <v>47</v>
      </c>
      <c r="K332" s="41" t="n">
        <f aca="false">IF(E332=TRUE(),1,0)</f>
        <v>0</v>
      </c>
      <c r="L332" s="39"/>
    </row>
    <row r="333" customFormat="false" ht="15" hidden="false" customHeight="true" outlineLevel="0" collapsed="false">
      <c r="A333" s="43" t="n">
        <v>332</v>
      </c>
      <c r="B333" s="44" t="s">
        <v>1033</v>
      </c>
      <c r="C333" s="44" t="s">
        <v>1034</v>
      </c>
      <c r="D333" s="44" t="s">
        <v>33</v>
      </c>
      <c r="E333" s="45" t="b">
        <f aca="false">FALSE()</f>
        <v>0</v>
      </c>
      <c r="F333" s="43" t="s">
        <v>44</v>
      </c>
      <c r="G333" s="43" t="n">
        <v>332</v>
      </c>
      <c r="H333" s="44" t="s">
        <v>1035</v>
      </c>
      <c r="I333" s="44" t="s">
        <v>36</v>
      </c>
      <c r="J333" s="44" t="s">
        <v>47</v>
      </c>
      <c r="K333" s="46" t="n">
        <f aca="false">IF(E333=TRUE(),1,0)</f>
        <v>0</v>
      </c>
      <c r="L333" s="44"/>
    </row>
    <row r="334" customFormat="false" ht="15" hidden="false" customHeight="true" outlineLevel="0" collapsed="false">
      <c r="A334" s="38" t="n">
        <v>333</v>
      </c>
      <c r="B334" s="39" t="s">
        <v>1036</v>
      </c>
      <c r="C334" s="39" t="s">
        <v>1037</v>
      </c>
      <c r="D334" s="39" t="s">
        <v>47</v>
      </c>
      <c r="E334" s="40" t="b">
        <f aca="false">FALSE()</f>
        <v>0</v>
      </c>
      <c r="F334" s="38" t="s">
        <v>44</v>
      </c>
      <c r="G334" s="38" t="n">
        <v>333</v>
      </c>
      <c r="H334" s="39" t="s">
        <v>1038</v>
      </c>
      <c r="I334" s="39" t="s">
        <v>36</v>
      </c>
      <c r="J334" s="39" t="s">
        <v>33</v>
      </c>
      <c r="K334" s="41" t="n">
        <f aca="false">IF(E334=TRUE(),1,0)</f>
        <v>0</v>
      </c>
      <c r="L334" s="39"/>
    </row>
    <row r="335" customFormat="false" ht="15" hidden="false" customHeight="true" outlineLevel="0" collapsed="false">
      <c r="A335" s="43" t="n">
        <v>334</v>
      </c>
      <c r="B335" s="44" t="s">
        <v>1039</v>
      </c>
      <c r="C335" s="44" t="s">
        <v>1040</v>
      </c>
      <c r="D335" s="44" t="s">
        <v>47</v>
      </c>
      <c r="E335" s="45" t="b">
        <f aca="false">TRUE()</f>
        <v>1</v>
      </c>
      <c r="F335" s="43" t="s">
        <v>34</v>
      </c>
      <c r="G335" s="43" t="n">
        <v>334</v>
      </c>
      <c r="H335" s="44" t="s">
        <v>1041</v>
      </c>
      <c r="I335" s="44" t="s">
        <v>46</v>
      </c>
      <c r="J335" s="44" t="s">
        <v>33</v>
      </c>
      <c r="K335" s="46" t="n">
        <f aca="false">IF(E335=TRUE(),1,0)</f>
        <v>1</v>
      </c>
      <c r="L335" s="47" t="n">
        <v>46218.4442361111</v>
      </c>
    </row>
    <row r="336" customFormat="false" ht="15" hidden="false" customHeight="true" outlineLevel="0" collapsed="false">
      <c r="A336" s="38" t="n">
        <v>335</v>
      </c>
      <c r="B336" s="39" t="s">
        <v>1042</v>
      </c>
      <c r="C336" s="39" t="s">
        <v>1043</v>
      </c>
      <c r="D336" s="39" t="s">
        <v>33</v>
      </c>
      <c r="E336" s="40" t="b">
        <f aca="false">TRUE()</f>
        <v>1</v>
      </c>
      <c r="F336" s="38" t="s">
        <v>44</v>
      </c>
      <c r="G336" s="38" t="n">
        <v>335</v>
      </c>
      <c r="H336" s="39" t="s">
        <v>1044</v>
      </c>
      <c r="I336" s="39" t="s">
        <v>36</v>
      </c>
      <c r="J336" s="39" t="s">
        <v>37</v>
      </c>
      <c r="K336" s="41" t="n">
        <f aca="false">IF(E336=TRUE(),1,0)</f>
        <v>1</v>
      </c>
      <c r="L336" s="42" t="n">
        <v>46218.446087963</v>
      </c>
    </row>
    <row r="337" customFormat="false" ht="15" hidden="false" customHeight="true" outlineLevel="0" collapsed="false">
      <c r="A337" s="43" t="n">
        <v>336</v>
      </c>
      <c r="B337" s="44" t="s">
        <v>1045</v>
      </c>
      <c r="C337" s="44" t="s">
        <v>1046</v>
      </c>
      <c r="D337" s="44" t="s">
        <v>37</v>
      </c>
      <c r="E337" s="45" t="b">
        <f aca="false">FALSE()</f>
        <v>0</v>
      </c>
      <c r="F337" s="43" t="s">
        <v>44</v>
      </c>
      <c r="G337" s="43" t="n">
        <v>336</v>
      </c>
      <c r="H337" s="44" t="s">
        <v>1047</v>
      </c>
      <c r="I337" s="44" t="s">
        <v>57</v>
      </c>
      <c r="J337" s="44" t="s">
        <v>37</v>
      </c>
      <c r="K337" s="46" t="n">
        <f aca="false">IF(E337=TRUE(),1,0)</f>
        <v>0</v>
      </c>
      <c r="L337" s="44"/>
    </row>
    <row r="338" customFormat="false" ht="15" hidden="false" customHeight="true" outlineLevel="0" collapsed="false">
      <c r="A338" s="38" t="n">
        <v>337</v>
      </c>
      <c r="B338" s="39" t="s">
        <v>1048</v>
      </c>
      <c r="C338" s="39" t="s">
        <v>1049</v>
      </c>
      <c r="D338" s="39" t="s">
        <v>47</v>
      </c>
      <c r="E338" s="40" t="b">
        <f aca="false">FALSE()</f>
        <v>0</v>
      </c>
      <c r="F338" s="38" t="s">
        <v>44</v>
      </c>
      <c r="G338" s="38" t="n">
        <v>337</v>
      </c>
      <c r="H338" s="39" t="s">
        <v>1050</v>
      </c>
      <c r="I338" s="39" t="s">
        <v>57</v>
      </c>
      <c r="J338" s="39" t="s">
        <v>33</v>
      </c>
      <c r="K338" s="41" t="n">
        <f aca="false">IF(E338=TRUE(),1,0)</f>
        <v>0</v>
      </c>
      <c r="L338" s="39"/>
    </row>
    <row r="339" customFormat="false" ht="15" hidden="false" customHeight="true" outlineLevel="0" collapsed="false">
      <c r="A339" s="43" t="n">
        <v>338</v>
      </c>
      <c r="B339" s="44" t="s">
        <v>1051</v>
      </c>
      <c r="C339" s="44" t="s">
        <v>1052</v>
      </c>
      <c r="D339" s="44" t="s">
        <v>47</v>
      </c>
      <c r="E339" s="45" t="b">
        <f aca="false">TRUE()</f>
        <v>1</v>
      </c>
      <c r="F339" s="43" t="s">
        <v>34</v>
      </c>
      <c r="G339" s="43" t="n">
        <v>338</v>
      </c>
      <c r="H339" s="44" t="s">
        <v>1053</v>
      </c>
      <c r="I339" s="44" t="s">
        <v>36</v>
      </c>
      <c r="J339" s="44" t="s">
        <v>33</v>
      </c>
      <c r="K339" s="46" t="n">
        <f aca="false">IF(E339=TRUE(),1,0)</f>
        <v>1</v>
      </c>
      <c r="L339" s="47" t="n">
        <v>46218.4465972222</v>
      </c>
    </row>
    <row r="340" customFormat="false" ht="15" hidden="false" customHeight="true" outlineLevel="0" collapsed="false">
      <c r="A340" s="38" t="n">
        <v>339</v>
      </c>
      <c r="B340" s="39" t="s">
        <v>1054</v>
      </c>
      <c r="C340" s="39" t="s">
        <v>1055</v>
      </c>
      <c r="D340" s="39" t="s">
        <v>33</v>
      </c>
      <c r="E340" s="40" t="b">
        <f aca="false">FALSE()</f>
        <v>0</v>
      </c>
      <c r="F340" s="38" t="s">
        <v>40</v>
      </c>
      <c r="G340" s="38" t="n">
        <v>339</v>
      </c>
      <c r="H340" s="39" t="s">
        <v>1056</v>
      </c>
      <c r="I340" s="39" t="s">
        <v>36</v>
      </c>
      <c r="J340" s="39" t="s">
        <v>37</v>
      </c>
      <c r="K340" s="41" t="n">
        <f aca="false">IF(E340=TRUE(),1,0)</f>
        <v>0</v>
      </c>
      <c r="L340" s="39"/>
    </row>
    <row r="341" customFormat="false" ht="15" hidden="false" customHeight="true" outlineLevel="0" collapsed="false">
      <c r="A341" s="43" t="n">
        <v>340</v>
      </c>
      <c r="B341" s="44" t="s">
        <v>1057</v>
      </c>
      <c r="C341" s="44" t="s">
        <v>1058</v>
      </c>
      <c r="D341" s="44" t="s">
        <v>33</v>
      </c>
      <c r="E341" s="45" t="b">
        <f aca="false">TRUE()</f>
        <v>1</v>
      </c>
      <c r="F341" s="43" t="s">
        <v>44</v>
      </c>
      <c r="G341" s="43" t="n">
        <v>340</v>
      </c>
      <c r="H341" s="44" t="s">
        <v>1059</v>
      </c>
      <c r="I341" s="44" t="s">
        <v>46</v>
      </c>
      <c r="J341" s="44" t="s">
        <v>33</v>
      </c>
      <c r="K341" s="46" t="n">
        <f aca="false">IF(E341=TRUE(),1,0)</f>
        <v>1</v>
      </c>
      <c r="L341" s="47" t="n">
        <v>46218.4505787037</v>
      </c>
    </row>
    <row r="342" customFormat="false" ht="15" hidden="false" customHeight="true" outlineLevel="0" collapsed="false">
      <c r="A342" s="38" t="n">
        <v>341</v>
      </c>
      <c r="B342" s="39" t="s">
        <v>1060</v>
      </c>
      <c r="C342" s="39" t="s">
        <v>1061</v>
      </c>
      <c r="D342" s="39" t="s">
        <v>37</v>
      </c>
      <c r="E342" s="40" t="b">
        <f aca="false">TRUE()</f>
        <v>1</v>
      </c>
      <c r="F342" s="38" t="s">
        <v>34</v>
      </c>
      <c r="G342" s="38" t="n">
        <v>341</v>
      </c>
      <c r="H342" s="39" t="s">
        <v>1062</v>
      </c>
      <c r="I342" s="39" t="s">
        <v>36</v>
      </c>
      <c r="J342" s="39" t="s">
        <v>37</v>
      </c>
      <c r="K342" s="41" t="n">
        <f aca="false">IF(E342=TRUE(),1,0)</f>
        <v>1</v>
      </c>
      <c r="L342" s="42" t="n">
        <v>46218.4510069444</v>
      </c>
    </row>
    <row r="343" customFormat="false" ht="15" hidden="false" customHeight="true" outlineLevel="0" collapsed="false">
      <c r="A343" s="43" t="n">
        <v>342</v>
      </c>
      <c r="B343" s="44" t="s">
        <v>1063</v>
      </c>
      <c r="C343" s="44" t="s">
        <v>1064</v>
      </c>
      <c r="D343" s="44" t="s">
        <v>47</v>
      </c>
      <c r="E343" s="45" t="b">
        <f aca="false">FALSE()</f>
        <v>0</v>
      </c>
      <c r="F343" s="43" t="s">
        <v>34</v>
      </c>
      <c r="G343" s="43" t="n">
        <v>342</v>
      </c>
      <c r="H343" s="44" t="s">
        <v>1065</v>
      </c>
      <c r="I343" s="44" t="s">
        <v>36</v>
      </c>
      <c r="J343" s="44" t="s">
        <v>37</v>
      </c>
      <c r="K343" s="46" t="n">
        <f aca="false">IF(E343=TRUE(),1,0)</f>
        <v>0</v>
      </c>
      <c r="L343" s="44"/>
    </row>
    <row r="344" customFormat="false" ht="15" hidden="false" customHeight="true" outlineLevel="0" collapsed="false">
      <c r="A344" s="38" t="n">
        <v>343</v>
      </c>
      <c r="B344" s="39" t="s">
        <v>1066</v>
      </c>
      <c r="C344" s="39" t="s">
        <v>1067</v>
      </c>
      <c r="D344" s="39" t="s">
        <v>47</v>
      </c>
      <c r="E344" s="40" t="b">
        <f aca="false">FALSE()</f>
        <v>0</v>
      </c>
      <c r="F344" s="38" t="s">
        <v>34</v>
      </c>
      <c r="G344" s="38" t="n">
        <v>343</v>
      </c>
      <c r="H344" s="39" t="s">
        <v>1068</v>
      </c>
      <c r="I344" s="39" t="s">
        <v>36</v>
      </c>
      <c r="J344" s="39" t="s">
        <v>47</v>
      </c>
      <c r="K344" s="41" t="n">
        <f aca="false">IF(E344=TRUE(),1,0)</f>
        <v>0</v>
      </c>
      <c r="L344" s="39"/>
    </row>
    <row r="345" customFormat="false" ht="15" hidden="false" customHeight="true" outlineLevel="0" collapsed="false">
      <c r="A345" s="43" t="n">
        <v>344</v>
      </c>
      <c r="B345" s="44" t="s">
        <v>1069</v>
      </c>
      <c r="C345" s="44" t="s">
        <v>1070</v>
      </c>
      <c r="D345" s="44" t="s">
        <v>47</v>
      </c>
      <c r="E345" s="45" t="b">
        <f aca="false">TRUE()</f>
        <v>1</v>
      </c>
      <c r="F345" s="43" t="s">
        <v>34</v>
      </c>
      <c r="G345" s="43" t="n">
        <v>344</v>
      </c>
      <c r="H345" s="44" t="s">
        <v>1071</v>
      </c>
      <c r="I345" s="44" t="s">
        <v>46</v>
      </c>
      <c r="J345" s="44" t="s">
        <v>33</v>
      </c>
      <c r="K345" s="46" t="n">
        <f aca="false">IF(E345=TRUE(),1,0)</f>
        <v>1</v>
      </c>
      <c r="L345" s="47" t="n">
        <v>46218.451087963</v>
      </c>
    </row>
    <row r="346" customFormat="false" ht="15" hidden="false" customHeight="true" outlineLevel="0" collapsed="false">
      <c r="A346" s="38" t="n">
        <v>345</v>
      </c>
      <c r="B346" s="39" t="s">
        <v>1072</v>
      </c>
      <c r="C346" s="39" t="s">
        <v>1073</v>
      </c>
      <c r="D346" s="39" t="s">
        <v>33</v>
      </c>
      <c r="E346" s="40" t="b">
        <f aca="false">FALSE()</f>
        <v>0</v>
      </c>
      <c r="F346" s="38" t="s">
        <v>40</v>
      </c>
      <c r="G346" s="38" t="n">
        <v>345</v>
      </c>
      <c r="H346" s="39" t="s">
        <v>1074</v>
      </c>
      <c r="I346" s="39" t="s">
        <v>57</v>
      </c>
      <c r="J346" s="39" t="s">
        <v>47</v>
      </c>
      <c r="K346" s="41" t="n">
        <f aca="false">IF(E346=TRUE(),1,0)</f>
        <v>0</v>
      </c>
      <c r="L346" s="39"/>
    </row>
    <row r="347" customFormat="false" ht="15" hidden="false" customHeight="true" outlineLevel="0" collapsed="false">
      <c r="A347" s="43" t="n">
        <v>346</v>
      </c>
      <c r="B347" s="44" t="s">
        <v>1075</v>
      </c>
      <c r="C347" s="44" t="s">
        <v>1076</v>
      </c>
      <c r="D347" s="44" t="s">
        <v>47</v>
      </c>
      <c r="E347" s="45" t="b">
        <f aca="false">TRUE()</f>
        <v>1</v>
      </c>
      <c r="F347" s="43" t="s">
        <v>44</v>
      </c>
      <c r="G347" s="43" t="n">
        <v>346</v>
      </c>
      <c r="H347" s="44" t="s">
        <v>1077</v>
      </c>
      <c r="I347" s="44" t="s">
        <v>46</v>
      </c>
      <c r="J347" s="44" t="s">
        <v>33</v>
      </c>
      <c r="K347" s="46" t="n">
        <f aca="false">IF(E347=TRUE(),1,0)</f>
        <v>1</v>
      </c>
      <c r="L347" s="47" t="n">
        <v>46218.4514236111</v>
      </c>
    </row>
    <row r="348" customFormat="false" ht="15" hidden="false" customHeight="true" outlineLevel="0" collapsed="false">
      <c r="A348" s="38" t="n">
        <v>347</v>
      </c>
      <c r="B348" s="39" t="s">
        <v>1078</v>
      </c>
      <c r="C348" s="39" t="s">
        <v>1079</v>
      </c>
      <c r="D348" s="39" t="s">
        <v>33</v>
      </c>
      <c r="E348" s="40" t="b">
        <f aca="false">TRUE()</f>
        <v>1</v>
      </c>
      <c r="F348" s="38" t="s">
        <v>34</v>
      </c>
      <c r="G348" s="38" t="n">
        <v>347</v>
      </c>
      <c r="H348" s="39" t="s">
        <v>1080</v>
      </c>
      <c r="I348" s="39" t="s">
        <v>36</v>
      </c>
      <c r="J348" s="39" t="s">
        <v>33</v>
      </c>
      <c r="K348" s="41" t="n">
        <f aca="false">IF(E348=TRUE(),1,0)</f>
        <v>1</v>
      </c>
      <c r="L348" s="42" t="n">
        <v>46218.4516898148</v>
      </c>
    </row>
    <row r="349" customFormat="false" ht="15" hidden="false" customHeight="true" outlineLevel="0" collapsed="false">
      <c r="A349" s="43" t="n">
        <v>348</v>
      </c>
      <c r="B349" s="44" t="s">
        <v>1081</v>
      </c>
      <c r="C349" s="44" t="s">
        <v>1082</v>
      </c>
      <c r="D349" s="44" t="s">
        <v>33</v>
      </c>
      <c r="E349" s="45" t="b">
        <f aca="false">FALSE()</f>
        <v>0</v>
      </c>
      <c r="F349" s="43" t="s">
        <v>44</v>
      </c>
      <c r="G349" s="43" t="n">
        <v>348</v>
      </c>
      <c r="H349" s="44" t="s">
        <v>1083</v>
      </c>
      <c r="I349" s="44" t="s">
        <v>57</v>
      </c>
      <c r="J349" s="44" t="s">
        <v>37</v>
      </c>
      <c r="K349" s="46" t="n">
        <f aca="false">IF(E349=TRUE(),1,0)</f>
        <v>0</v>
      </c>
      <c r="L349" s="44"/>
    </row>
    <row r="350" customFormat="false" ht="15" hidden="false" customHeight="true" outlineLevel="0" collapsed="false">
      <c r="A350" s="38" t="n">
        <v>349</v>
      </c>
      <c r="B350" s="39" t="s">
        <v>1084</v>
      </c>
      <c r="C350" s="39" t="s">
        <v>1085</v>
      </c>
      <c r="D350" s="39" t="s">
        <v>47</v>
      </c>
      <c r="E350" s="40" t="b">
        <f aca="false">TRUE()</f>
        <v>1</v>
      </c>
      <c r="F350" s="38" t="s">
        <v>40</v>
      </c>
      <c r="G350" s="38" t="n">
        <v>349</v>
      </c>
      <c r="H350" s="39" t="s">
        <v>1086</v>
      </c>
      <c r="I350" s="39" t="s">
        <v>57</v>
      </c>
      <c r="J350" s="39" t="s">
        <v>33</v>
      </c>
      <c r="K350" s="41" t="n">
        <f aca="false">IF(E350=TRUE(),1,0)</f>
        <v>1</v>
      </c>
      <c r="L350" s="42" t="n">
        <v>46218.4523148148</v>
      </c>
    </row>
    <row r="351" customFormat="false" ht="15" hidden="false" customHeight="true" outlineLevel="0" collapsed="false">
      <c r="A351" s="43" t="n">
        <v>350</v>
      </c>
      <c r="B351" s="44" t="s">
        <v>1087</v>
      </c>
      <c r="C351" s="44" t="s">
        <v>1088</v>
      </c>
      <c r="D351" s="44" t="s">
        <v>37</v>
      </c>
      <c r="E351" s="45" t="b">
        <f aca="false">FALSE()</f>
        <v>0</v>
      </c>
      <c r="F351" s="43" t="s">
        <v>44</v>
      </c>
      <c r="G351" s="43" t="n">
        <v>350</v>
      </c>
      <c r="H351" s="44" t="s">
        <v>1089</v>
      </c>
      <c r="I351" s="44" t="s">
        <v>57</v>
      </c>
      <c r="J351" s="44" t="s">
        <v>37</v>
      </c>
      <c r="K351" s="46" t="n">
        <f aca="false">IF(E351=TRUE(),1,0)</f>
        <v>0</v>
      </c>
      <c r="L351" s="44"/>
    </row>
    <row r="352" customFormat="false" ht="15" hidden="false" customHeight="true" outlineLevel="0" collapsed="false">
      <c r="A352" s="38" t="n">
        <v>351</v>
      </c>
      <c r="B352" s="39" t="s">
        <v>1090</v>
      </c>
      <c r="C352" s="39" t="s">
        <v>1091</v>
      </c>
      <c r="D352" s="39" t="s">
        <v>47</v>
      </c>
      <c r="E352" s="40" t="b">
        <f aca="false">FALSE()</f>
        <v>0</v>
      </c>
      <c r="F352" s="38" t="s">
        <v>34</v>
      </c>
      <c r="G352" s="38" t="n">
        <v>351</v>
      </c>
      <c r="H352" s="39" t="s">
        <v>1092</v>
      </c>
      <c r="I352" s="39" t="s">
        <v>36</v>
      </c>
      <c r="J352" s="39" t="s">
        <v>33</v>
      </c>
      <c r="K352" s="41" t="n">
        <f aca="false">IF(E352=TRUE(),1,0)</f>
        <v>0</v>
      </c>
      <c r="L352" s="39"/>
    </row>
    <row r="353" customFormat="false" ht="15" hidden="false" customHeight="true" outlineLevel="0" collapsed="false">
      <c r="A353" s="43" t="n">
        <v>352</v>
      </c>
      <c r="B353" s="44" t="s">
        <v>1093</v>
      </c>
      <c r="C353" s="44" t="s">
        <v>1094</v>
      </c>
      <c r="D353" s="44" t="s">
        <v>47</v>
      </c>
      <c r="E353" s="45" t="b">
        <f aca="false">TRUE()</f>
        <v>1</v>
      </c>
      <c r="F353" s="43" t="s">
        <v>34</v>
      </c>
      <c r="G353" s="43" t="n">
        <v>352</v>
      </c>
      <c r="H353" s="44" t="s">
        <v>1095</v>
      </c>
      <c r="I353" s="44" t="s">
        <v>36</v>
      </c>
      <c r="J353" s="44" t="s">
        <v>37</v>
      </c>
      <c r="K353" s="46" t="n">
        <f aca="false">IF(E353=TRUE(),1,0)</f>
        <v>1</v>
      </c>
      <c r="L353" s="47" t="n">
        <v>46218.4529398148</v>
      </c>
    </row>
    <row r="354" customFormat="false" ht="15" hidden="false" customHeight="true" outlineLevel="0" collapsed="false">
      <c r="A354" s="38" t="n">
        <v>353</v>
      </c>
      <c r="B354" s="39" t="s">
        <v>1096</v>
      </c>
      <c r="C354" s="39" t="s">
        <v>1097</v>
      </c>
      <c r="D354" s="39" t="s">
        <v>47</v>
      </c>
      <c r="E354" s="40" t="b">
        <f aca="false">FALSE()</f>
        <v>0</v>
      </c>
      <c r="F354" s="38" t="s">
        <v>40</v>
      </c>
      <c r="G354" s="38" t="n">
        <v>353</v>
      </c>
      <c r="H354" s="39" t="s">
        <v>1098</v>
      </c>
      <c r="I354" s="39" t="s">
        <v>36</v>
      </c>
      <c r="J354" s="39" t="s">
        <v>37</v>
      </c>
      <c r="K354" s="41" t="n">
        <f aca="false">IF(E354=TRUE(),1,0)</f>
        <v>0</v>
      </c>
      <c r="L354" s="39"/>
    </row>
    <row r="355" customFormat="false" ht="15" hidden="false" customHeight="true" outlineLevel="0" collapsed="false">
      <c r="A355" s="43" t="n">
        <v>354</v>
      </c>
      <c r="B355" s="44" t="s">
        <v>1099</v>
      </c>
      <c r="C355" s="44" t="s">
        <v>1100</v>
      </c>
      <c r="D355" s="44" t="s">
        <v>37</v>
      </c>
      <c r="E355" s="45" t="b">
        <f aca="false">FALSE()</f>
        <v>0</v>
      </c>
      <c r="F355" s="43" t="s">
        <v>40</v>
      </c>
      <c r="G355" s="43" t="n">
        <v>354</v>
      </c>
      <c r="H355" s="44" t="s">
        <v>1101</v>
      </c>
      <c r="I355" s="44" t="s">
        <v>46</v>
      </c>
      <c r="J355" s="44" t="s">
        <v>37</v>
      </c>
      <c r="K355" s="46" t="n">
        <f aca="false">IF(E355=TRUE(),1,0)</f>
        <v>0</v>
      </c>
      <c r="L355" s="44"/>
    </row>
    <row r="356" customFormat="false" ht="15" hidden="false" customHeight="true" outlineLevel="0" collapsed="false">
      <c r="A356" s="38" t="n">
        <v>355</v>
      </c>
      <c r="B356" s="39" t="s">
        <v>1102</v>
      </c>
      <c r="C356" s="39" t="s">
        <v>1103</v>
      </c>
      <c r="D356" s="39" t="s">
        <v>33</v>
      </c>
      <c r="E356" s="40" t="b">
        <f aca="false">TRUE()</f>
        <v>1</v>
      </c>
      <c r="F356" s="38" t="s">
        <v>44</v>
      </c>
      <c r="G356" s="38" t="n">
        <v>355</v>
      </c>
      <c r="H356" s="39" t="s">
        <v>1104</v>
      </c>
      <c r="I356" s="39" t="s">
        <v>46</v>
      </c>
      <c r="J356" s="39" t="s">
        <v>47</v>
      </c>
      <c r="K356" s="41" t="n">
        <f aca="false">IF(E356=TRUE(),1,0)</f>
        <v>1</v>
      </c>
      <c r="L356" s="42" t="n">
        <v>46218.4533449074</v>
      </c>
    </row>
    <row r="357" customFormat="false" ht="15" hidden="false" customHeight="true" outlineLevel="0" collapsed="false">
      <c r="A357" s="43" t="n">
        <v>356</v>
      </c>
      <c r="B357" s="44" t="s">
        <v>1105</v>
      </c>
      <c r="C357" s="44" t="s">
        <v>1106</v>
      </c>
      <c r="D357" s="44" t="s">
        <v>47</v>
      </c>
      <c r="E357" s="45" t="b">
        <f aca="false">TRUE()</f>
        <v>1</v>
      </c>
      <c r="F357" s="43" t="s">
        <v>34</v>
      </c>
      <c r="G357" s="43" t="n">
        <v>356</v>
      </c>
      <c r="H357" s="44" t="s">
        <v>1107</v>
      </c>
      <c r="I357" s="44" t="s">
        <v>36</v>
      </c>
      <c r="J357" s="44" t="s">
        <v>37</v>
      </c>
      <c r="K357" s="46" t="n">
        <f aca="false">IF(E357=TRUE(),1,0)</f>
        <v>1</v>
      </c>
      <c r="L357" s="47" t="n">
        <v>46218.4537615741</v>
      </c>
    </row>
    <row r="358" customFormat="false" ht="15" hidden="false" customHeight="true" outlineLevel="0" collapsed="false">
      <c r="A358" s="38" t="n">
        <v>357</v>
      </c>
      <c r="B358" s="39" t="s">
        <v>1108</v>
      </c>
      <c r="C358" s="39" t="s">
        <v>1109</v>
      </c>
      <c r="D358" s="39" t="s">
        <v>47</v>
      </c>
      <c r="E358" s="40" t="b">
        <f aca="false">FALSE()</f>
        <v>0</v>
      </c>
      <c r="F358" s="38" t="s">
        <v>44</v>
      </c>
      <c r="G358" s="38" t="n">
        <v>357</v>
      </c>
      <c r="H358" s="39" t="s">
        <v>1110</v>
      </c>
      <c r="I358" s="39" t="s">
        <v>36</v>
      </c>
      <c r="J358" s="39" t="s">
        <v>33</v>
      </c>
      <c r="K358" s="41" t="n">
        <f aca="false">IF(E358=TRUE(),1,0)</f>
        <v>0</v>
      </c>
      <c r="L358" s="39"/>
    </row>
    <row r="359" customFormat="false" ht="15" hidden="false" customHeight="true" outlineLevel="0" collapsed="false">
      <c r="A359" s="43" t="n">
        <v>358</v>
      </c>
      <c r="B359" s="44" t="s">
        <v>1111</v>
      </c>
      <c r="C359" s="44" t="s">
        <v>1112</v>
      </c>
      <c r="D359" s="44" t="s">
        <v>47</v>
      </c>
      <c r="E359" s="45" t="b">
        <f aca="false">FALSE()</f>
        <v>0</v>
      </c>
      <c r="F359" s="43" t="s">
        <v>34</v>
      </c>
      <c r="G359" s="43" t="n">
        <v>358</v>
      </c>
      <c r="H359" s="44" t="s">
        <v>1113</v>
      </c>
      <c r="I359" s="44" t="s">
        <v>36</v>
      </c>
      <c r="J359" s="44" t="s">
        <v>37</v>
      </c>
      <c r="K359" s="46" t="n">
        <f aca="false">IF(E359=TRUE(),1,0)</f>
        <v>0</v>
      </c>
      <c r="L359" s="44"/>
    </row>
    <row r="360" customFormat="false" ht="15" hidden="false" customHeight="true" outlineLevel="0" collapsed="false">
      <c r="A360" s="38" t="n">
        <v>359</v>
      </c>
      <c r="B360" s="39" t="s">
        <v>1114</v>
      </c>
      <c r="C360" s="39" t="s">
        <v>1115</v>
      </c>
      <c r="D360" s="39" t="s">
        <v>33</v>
      </c>
      <c r="E360" s="40" t="b">
        <f aca="false">FALSE()</f>
        <v>0</v>
      </c>
      <c r="F360" s="38" t="s">
        <v>40</v>
      </c>
      <c r="G360" s="38" t="n">
        <v>359</v>
      </c>
      <c r="H360" s="39" t="s">
        <v>1116</v>
      </c>
      <c r="I360" s="39" t="s">
        <v>57</v>
      </c>
      <c r="J360" s="39" t="s">
        <v>33</v>
      </c>
      <c r="K360" s="41" t="n">
        <f aca="false">IF(E360=TRUE(),1,0)</f>
        <v>0</v>
      </c>
      <c r="L360" s="39"/>
    </row>
    <row r="361" customFormat="false" ht="15" hidden="false" customHeight="true" outlineLevel="0" collapsed="false">
      <c r="A361" s="43" t="n">
        <v>360</v>
      </c>
      <c r="B361" s="44" t="s">
        <v>1117</v>
      </c>
      <c r="C361" s="44" t="s">
        <v>1118</v>
      </c>
      <c r="D361" s="44" t="s">
        <v>33</v>
      </c>
      <c r="E361" s="45" t="b">
        <f aca="false">FALSE()</f>
        <v>0</v>
      </c>
      <c r="F361" s="43" t="s">
        <v>44</v>
      </c>
      <c r="G361" s="43" t="n">
        <v>360</v>
      </c>
      <c r="H361" s="44" t="s">
        <v>1119</v>
      </c>
      <c r="I361" s="44" t="s">
        <v>36</v>
      </c>
      <c r="J361" s="44" t="s">
        <v>37</v>
      </c>
      <c r="K361" s="46" t="n">
        <f aca="false">IF(E361=TRUE(),1,0)</f>
        <v>0</v>
      </c>
      <c r="L361" s="44"/>
    </row>
    <row r="362" customFormat="false" ht="15" hidden="false" customHeight="true" outlineLevel="0" collapsed="false">
      <c r="A362" s="38" t="n">
        <v>361</v>
      </c>
      <c r="B362" s="39" t="s">
        <v>1120</v>
      </c>
      <c r="C362" s="39" t="s">
        <v>1121</v>
      </c>
      <c r="D362" s="39" t="s">
        <v>33</v>
      </c>
      <c r="E362" s="40" t="b">
        <f aca="false">FALSE()</f>
        <v>0</v>
      </c>
      <c r="F362" s="38" t="s">
        <v>34</v>
      </c>
      <c r="G362" s="38" t="n">
        <v>361</v>
      </c>
      <c r="H362" s="39" t="s">
        <v>1122</v>
      </c>
      <c r="I362" s="39" t="s">
        <v>36</v>
      </c>
      <c r="J362" s="39" t="s">
        <v>47</v>
      </c>
      <c r="K362" s="41" t="n">
        <f aca="false">IF(E362=TRUE(),1,0)</f>
        <v>0</v>
      </c>
      <c r="L362" s="39"/>
    </row>
    <row r="363" customFormat="false" ht="15" hidden="false" customHeight="true" outlineLevel="0" collapsed="false">
      <c r="A363" s="43" t="n">
        <v>362</v>
      </c>
      <c r="B363" s="44" t="s">
        <v>1123</v>
      </c>
      <c r="C363" s="44" t="s">
        <v>1124</v>
      </c>
      <c r="D363" s="44" t="s">
        <v>37</v>
      </c>
      <c r="E363" s="45" t="b">
        <f aca="false">FALSE()</f>
        <v>0</v>
      </c>
      <c r="F363" s="43" t="s">
        <v>40</v>
      </c>
      <c r="G363" s="43" t="n">
        <v>362</v>
      </c>
      <c r="H363" s="44" t="s">
        <v>1125</v>
      </c>
      <c r="I363" s="44" t="s">
        <v>46</v>
      </c>
      <c r="J363" s="44" t="s">
        <v>33</v>
      </c>
      <c r="K363" s="46" t="n">
        <f aca="false">IF(E363=TRUE(),1,0)</f>
        <v>0</v>
      </c>
      <c r="L363" s="44"/>
    </row>
    <row r="364" customFormat="false" ht="15" hidden="false" customHeight="true" outlineLevel="0" collapsed="false">
      <c r="A364" s="38" t="n">
        <v>363</v>
      </c>
      <c r="B364" s="39" t="s">
        <v>1126</v>
      </c>
      <c r="C364" s="39" t="s">
        <v>1127</v>
      </c>
      <c r="D364" s="39" t="s">
        <v>33</v>
      </c>
      <c r="E364" s="40" t="b">
        <f aca="false">FALSE()</f>
        <v>0</v>
      </c>
      <c r="F364" s="38" t="s">
        <v>34</v>
      </c>
      <c r="G364" s="38" t="n">
        <v>363</v>
      </c>
      <c r="H364" s="39" t="s">
        <v>1128</v>
      </c>
      <c r="I364" s="39" t="s">
        <v>46</v>
      </c>
      <c r="J364" s="39" t="s">
        <v>37</v>
      </c>
      <c r="K364" s="41" t="n">
        <f aca="false">IF(E364=TRUE(),1,0)</f>
        <v>0</v>
      </c>
      <c r="L364" s="39"/>
    </row>
    <row r="365" customFormat="false" ht="15" hidden="false" customHeight="true" outlineLevel="0" collapsed="false">
      <c r="A365" s="43" t="n">
        <v>364</v>
      </c>
      <c r="B365" s="44" t="s">
        <v>1129</v>
      </c>
      <c r="C365" s="44" t="s">
        <v>1130</v>
      </c>
      <c r="D365" s="44" t="s">
        <v>47</v>
      </c>
      <c r="E365" s="45" t="b">
        <f aca="false">TRUE()</f>
        <v>1</v>
      </c>
      <c r="F365" s="43" t="s">
        <v>40</v>
      </c>
      <c r="G365" s="43" t="n">
        <v>364</v>
      </c>
      <c r="H365" s="44" t="s">
        <v>1131</v>
      </c>
      <c r="I365" s="44" t="s">
        <v>36</v>
      </c>
      <c r="J365" s="44" t="s">
        <v>47</v>
      </c>
      <c r="K365" s="46" t="n">
        <f aca="false">IF(E365=TRUE(),1,0)</f>
        <v>1</v>
      </c>
      <c r="L365" s="47" t="n">
        <v>46218.4537962963</v>
      </c>
    </row>
    <row r="366" customFormat="false" ht="15" hidden="false" customHeight="true" outlineLevel="0" collapsed="false">
      <c r="A366" s="38" t="n">
        <v>365</v>
      </c>
      <c r="B366" s="39" t="s">
        <v>1132</v>
      </c>
      <c r="C366" s="39" t="s">
        <v>1133</v>
      </c>
      <c r="D366" s="39" t="s">
        <v>33</v>
      </c>
      <c r="E366" s="40" t="b">
        <f aca="false">FALSE()</f>
        <v>0</v>
      </c>
      <c r="F366" s="38" t="s">
        <v>40</v>
      </c>
      <c r="G366" s="38" t="n">
        <v>365</v>
      </c>
      <c r="H366" s="39" t="s">
        <v>1134</v>
      </c>
      <c r="I366" s="39" t="s">
        <v>46</v>
      </c>
      <c r="J366" s="39" t="s">
        <v>33</v>
      </c>
      <c r="K366" s="41" t="n">
        <f aca="false">IF(E366=TRUE(),1,0)</f>
        <v>0</v>
      </c>
      <c r="L366" s="39"/>
    </row>
    <row r="367" customFormat="false" ht="15" hidden="false" customHeight="true" outlineLevel="0" collapsed="false">
      <c r="A367" s="43" t="n">
        <v>366</v>
      </c>
      <c r="B367" s="44" t="s">
        <v>1135</v>
      </c>
      <c r="C367" s="44" t="s">
        <v>1136</v>
      </c>
      <c r="D367" s="44" t="s">
        <v>33</v>
      </c>
      <c r="E367" s="45" t="b">
        <f aca="false">FALSE()</f>
        <v>0</v>
      </c>
      <c r="F367" s="43" t="s">
        <v>40</v>
      </c>
      <c r="G367" s="43" t="n">
        <v>366</v>
      </c>
      <c r="H367" s="44" t="s">
        <v>1137</v>
      </c>
      <c r="I367" s="44" t="s">
        <v>36</v>
      </c>
      <c r="J367" s="44" t="s">
        <v>47</v>
      </c>
      <c r="K367" s="46" t="n">
        <f aca="false">IF(E367=TRUE(),1,0)</f>
        <v>0</v>
      </c>
      <c r="L367" s="44"/>
    </row>
    <row r="368" customFormat="false" ht="15" hidden="false" customHeight="true" outlineLevel="0" collapsed="false">
      <c r="A368" s="38" t="n">
        <v>367</v>
      </c>
      <c r="B368" s="39" t="s">
        <v>1138</v>
      </c>
      <c r="C368" s="39" t="s">
        <v>1139</v>
      </c>
      <c r="D368" s="39" t="s">
        <v>33</v>
      </c>
      <c r="E368" s="40" t="b">
        <f aca="false">TRUE()</f>
        <v>1</v>
      </c>
      <c r="F368" s="38" t="s">
        <v>40</v>
      </c>
      <c r="G368" s="38" t="n">
        <v>367</v>
      </c>
      <c r="H368" s="39" t="s">
        <v>1140</v>
      </c>
      <c r="I368" s="39" t="s">
        <v>46</v>
      </c>
      <c r="J368" s="39" t="s">
        <v>33</v>
      </c>
      <c r="K368" s="41" t="n">
        <f aca="false">IF(E368=TRUE(),1,0)</f>
        <v>1</v>
      </c>
      <c r="L368" s="42" t="n">
        <v>46218.4541666667</v>
      </c>
    </row>
    <row r="369" customFormat="false" ht="15" hidden="false" customHeight="true" outlineLevel="0" collapsed="false">
      <c r="A369" s="43" t="n">
        <v>368</v>
      </c>
      <c r="B369" s="44" t="s">
        <v>1141</v>
      </c>
      <c r="C369" s="44" t="s">
        <v>1142</v>
      </c>
      <c r="D369" s="44" t="s">
        <v>37</v>
      </c>
      <c r="E369" s="45" t="b">
        <f aca="false">FALSE()</f>
        <v>0</v>
      </c>
      <c r="F369" s="43" t="s">
        <v>44</v>
      </c>
      <c r="G369" s="43" t="n">
        <v>368</v>
      </c>
      <c r="H369" s="44" t="s">
        <v>1143</v>
      </c>
      <c r="I369" s="44" t="s">
        <v>46</v>
      </c>
      <c r="J369" s="44" t="s">
        <v>33</v>
      </c>
      <c r="K369" s="46" t="n">
        <f aca="false">IF(E369=TRUE(),1,0)</f>
        <v>0</v>
      </c>
      <c r="L369" s="44"/>
    </row>
    <row r="370" customFormat="false" ht="15" hidden="false" customHeight="true" outlineLevel="0" collapsed="false">
      <c r="A370" s="38" t="n">
        <v>369</v>
      </c>
      <c r="B370" s="39" t="s">
        <v>1144</v>
      </c>
      <c r="C370" s="39" t="s">
        <v>1145</v>
      </c>
      <c r="D370" s="39" t="s">
        <v>47</v>
      </c>
      <c r="E370" s="40" t="b">
        <f aca="false">TRUE()</f>
        <v>1</v>
      </c>
      <c r="F370" s="38" t="s">
        <v>34</v>
      </c>
      <c r="G370" s="38" t="n">
        <v>369</v>
      </c>
      <c r="H370" s="39" t="s">
        <v>1146</v>
      </c>
      <c r="I370" s="39" t="s">
        <v>57</v>
      </c>
      <c r="J370" s="39" t="s">
        <v>33</v>
      </c>
      <c r="K370" s="41" t="n">
        <f aca="false">IF(E370=TRUE(),1,0)</f>
        <v>1</v>
      </c>
      <c r="L370" s="42" t="n">
        <v>46218.4549768519</v>
      </c>
    </row>
    <row r="371" customFormat="false" ht="15" hidden="false" customHeight="true" outlineLevel="0" collapsed="false">
      <c r="A371" s="43" t="n">
        <v>370</v>
      </c>
      <c r="B371" s="44" t="s">
        <v>1147</v>
      </c>
      <c r="C371" s="44" t="s">
        <v>1148</v>
      </c>
      <c r="D371" s="44" t="s">
        <v>47</v>
      </c>
      <c r="E371" s="45" t="b">
        <f aca="false">FALSE()</f>
        <v>0</v>
      </c>
      <c r="F371" s="43" t="s">
        <v>40</v>
      </c>
      <c r="G371" s="43" t="n">
        <v>370</v>
      </c>
      <c r="H371" s="44" t="s">
        <v>1149</v>
      </c>
      <c r="I371" s="44" t="s">
        <v>36</v>
      </c>
      <c r="J371" s="44" t="s">
        <v>47</v>
      </c>
      <c r="K371" s="46" t="n">
        <f aca="false">IF(E371=TRUE(),1,0)</f>
        <v>0</v>
      </c>
      <c r="L371" s="44"/>
    </row>
    <row r="372" customFormat="false" ht="15" hidden="false" customHeight="true" outlineLevel="0" collapsed="false">
      <c r="A372" s="38" t="n">
        <v>371</v>
      </c>
      <c r="B372" s="39" t="s">
        <v>1150</v>
      </c>
      <c r="C372" s="39" t="s">
        <v>1151</v>
      </c>
      <c r="D372" s="39" t="s">
        <v>47</v>
      </c>
      <c r="E372" s="40" t="b">
        <f aca="false">FALSE()</f>
        <v>0</v>
      </c>
      <c r="F372" s="38" t="s">
        <v>44</v>
      </c>
      <c r="G372" s="38" t="n">
        <v>371</v>
      </c>
      <c r="H372" s="39" t="s">
        <v>1152</v>
      </c>
      <c r="I372" s="39" t="s">
        <v>57</v>
      </c>
      <c r="J372" s="39" t="s">
        <v>47</v>
      </c>
      <c r="K372" s="41" t="n">
        <f aca="false">IF(E372=TRUE(),1,0)</f>
        <v>0</v>
      </c>
      <c r="L372" s="39"/>
    </row>
    <row r="373" customFormat="false" ht="15" hidden="false" customHeight="true" outlineLevel="0" collapsed="false">
      <c r="A373" s="43" t="n">
        <v>372</v>
      </c>
      <c r="B373" s="44" t="s">
        <v>1153</v>
      </c>
      <c r="C373" s="44" t="s">
        <v>1154</v>
      </c>
      <c r="D373" s="44" t="s">
        <v>47</v>
      </c>
      <c r="E373" s="45" t="b">
        <f aca="false">FALSE()</f>
        <v>0</v>
      </c>
      <c r="F373" s="43" t="s">
        <v>44</v>
      </c>
      <c r="G373" s="43" t="n">
        <v>372</v>
      </c>
      <c r="H373" s="44" t="s">
        <v>1155</v>
      </c>
      <c r="I373" s="44" t="s">
        <v>46</v>
      </c>
      <c r="J373" s="44" t="s">
        <v>33</v>
      </c>
      <c r="K373" s="46" t="n">
        <f aca="false">IF(E373=TRUE(),1,0)</f>
        <v>0</v>
      </c>
      <c r="L373" s="44"/>
    </row>
    <row r="374" customFormat="false" ht="15" hidden="false" customHeight="true" outlineLevel="0" collapsed="false">
      <c r="A374" s="38" t="n">
        <v>373</v>
      </c>
      <c r="B374" s="39" t="s">
        <v>1156</v>
      </c>
      <c r="C374" s="39" t="s">
        <v>1157</v>
      </c>
      <c r="D374" s="39" t="s">
        <v>37</v>
      </c>
      <c r="E374" s="40" t="b">
        <f aca="false">TRUE()</f>
        <v>1</v>
      </c>
      <c r="F374" s="38" t="s">
        <v>40</v>
      </c>
      <c r="G374" s="38" t="n">
        <v>373</v>
      </c>
      <c r="H374" s="39" t="s">
        <v>1158</v>
      </c>
      <c r="I374" s="39" t="s">
        <v>46</v>
      </c>
      <c r="J374" s="39" t="s">
        <v>37</v>
      </c>
      <c r="K374" s="41" t="n">
        <f aca="false">IF(E374=TRUE(),1,0)</f>
        <v>1</v>
      </c>
      <c r="L374" s="42" t="n">
        <v>46218.4567939815</v>
      </c>
    </row>
    <row r="375" customFormat="false" ht="15" hidden="false" customHeight="true" outlineLevel="0" collapsed="false">
      <c r="A375" s="43" t="n">
        <v>374</v>
      </c>
      <c r="B375" s="44" t="s">
        <v>1159</v>
      </c>
      <c r="C375" s="44" t="s">
        <v>1160</v>
      </c>
      <c r="D375" s="44" t="s">
        <v>33</v>
      </c>
      <c r="E375" s="45" t="b">
        <f aca="false">FALSE()</f>
        <v>0</v>
      </c>
      <c r="F375" s="43" t="s">
        <v>34</v>
      </c>
      <c r="G375" s="43" t="n">
        <v>374</v>
      </c>
      <c r="H375" s="44" t="s">
        <v>1161</v>
      </c>
      <c r="I375" s="44" t="s">
        <v>36</v>
      </c>
      <c r="J375" s="44" t="s">
        <v>33</v>
      </c>
      <c r="K375" s="46" t="n">
        <f aca="false">IF(E375=TRUE(),1,0)</f>
        <v>0</v>
      </c>
      <c r="L375" s="44"/>
    </row>
    <row r="376" customFormat="false" ht="15" hidden="false" customHeight="true" outlineLevel="0" collapsed="false">
      <c r="A376" s="38" t="n">
        <v>375</v>
      </c>
      <c r="B376" s="39" t="s">
        <v>1162</v>
      </c>
      <c r="C376" s="39" t="s">
        <v>1163</v>
      </c>
      <c r="D376" s="39" t="s">
        <v>33</v>
      </c>
      <c r="E376" s="40" t="b">
        <f aca="false">FALSE()</f>
        <v>0</v>
      </c>
      <c r="F376" s="38" t="s">
        <v>44</v>
      </c>
      <c r="G376" s="38" t="n">
        <v>375</v>
      </c>
      <c r="H376" s="39" t="s">
        <v>1164</v>
      </c>
      <c r="I376" s="39" t="s">
        <v>36</v>
      </c>
      <c r="J376" s="39" t="s">
        <v>37</v>
      </c>
      <c r="K376" s="41" t="n">
        <f aca="false">IF(E376=TRUE(),1,0)</f>
        <v>0</v>
      </c>
      <c r="L376" s="39"/>
    </row>
    <row r="377" customFormat="false" ht="15" hidden="false" customHeight="true" outlineLevel="0" collapsed="false">
      <c r="A377" s="43" t="n">
        <v>376</v>
      </c>
      <c r="B377" s="44" t="s">
        <v>1165</v>
      </c>
      <c r="C377" s="44" t="s">
        <v>1166</v>
      </c>
      <c r="D377" s="44" t="s">
        <v>33</v>
      </c>
      <c r="E377" s="45" t="b">
        <f aca="false">FALSE()</f>
        <v>0</v>
      </c>
      <c r="F377" s="43" t="s">
        <v>40</v>
      </c>
      <c r="G377" s="43" t="n">
        <v>376</v>
      </c>
      <c r="H377" s="44" t="s">
        <v>1167</v>
      </c>
      <c r="I377" s="44" t="s">
        <v>36</v>
      </c>
      <c r="J377" s="44" t="s">
        <v>37</v>
      </c>
      <c r="K377" s="46" t="n">
        <f aca="false">IF(E377=TRUE(),1,0)</f>
        <v>0</v>
      </c>
      <c r="L377" s="44"/>
    </row>
    <row r="378" customFormat="false" ht="15" hidden="false" customHeight="true" outlineLevel="0" collapsed="false">
      <c r="A378" s="38" t="n">
        <v>377</v>
      </c>
      <c r="B378" s="39" t="s">
        <v>1168</v>
      </c>
      <c r="C378" s="39" t="s">
        <v>1169</v>
      </c>
      <c r="D378" s="39" t="s">
        <v>37</v>
      </c>
      <c r="E378" s="40" t="b">
        <f aca="false">FALSE()</f>
        <v>0</v>
      </c>
      <c r="F378" s="38" t="s">
        <v>40</v>
      </c>
      <c r="G378" s="38" t="n">
        <v>377</v>
      </c>
      <c r="H378" s="39" t="s">
        <v>1170</v>
      </c>
      <c r="I378" s="39" t="s">
        <v>46</v>
      </c>
      <c r="J378" s="39" t="s">
        <v>47</v>
      </c>
      <c r="K378" s="41" t="n">
        <f aca="false">IF(E378=TRUE(),1,0)</f>
        <v>0</v>
      </c>
      <c r="L378" s="39"/>
    </row>
    <row r="379" customFormat="false" ht="15" hidden="false" customHeight="true" outlineLevel="0" collapsed="false">
      <c r="A379" s="43" t="n">
        <v>378</v>
      </c>
      <c r="B379" s="44" t="s">
        <v>1171</v>
      </c>
      <c r="C379" s="44" t="s">
        <v>1172</v>
      </c>
      <c r="D379" s="44" t="s">
        <v>33</v>
      </c>
      <c r="E379" s="45" t="b">
        <f aca="false">TRUE()</f>
        <v>1</v>
      </c>
      <c r="F379" s="43" t="s">
        <v>44</v>
      </c>
      <c r="G379" s="43" t="n">
        <v>378</v>
      </c>
      <c r="H379" s="44" t="s">
        <v>1173</v>
      </c>
      <c r="I379" s="44" t="s">
        <v>36</v>
      </c>
      <c r="J379" s="44" t="s">
        <v>33</v>
      </c>
      <c r="K379" s="46" t="n">
        <f aca="false">IF(E379=TRUE(),1,0)</f>
        <v>1</v>
      </c>
      <c r="L379" s="47" t="n">
        <v>46218.4575</v>
      </c>
    </row>
    <row r="380" customFormat="false" ht="15" hidden="false" customHeight="true" outlineLevel="0" collapsed="false">
      <c r="A380" s="38" t="n">
        <v>379</v>
      </c>
      <c r="B380" s="39" t="s">
        <v>1174</v>
      </c>
      <c r="C380" s="39" t="s">
        <v>1175</v>
      </c>
      <c r="D380" s="39" t="s">
        <v>37</v>
      </c>
      <c r="E380" s="40" t="b">
        <f aca="false">TRUE()</f>
        <v>1</v>
      </c>
      <c r="F380" s="38" t="s">
        <v>34</v>
      </c>
      <c r="G380" s="38" t="n">
        <v>379</v>
      </c>
      <c r="H380" s="39" t="s">
        <v>1176</v>
      </c>
      <c r="I380" s="39" t="s">
        <v>57</v>
      </c>
      <c r="J380" s="39" t="s">
        <v>37</v>
      </c>
      <c r="K380" s="41" t="n">
        <f aca="false">IF(E380=TRUE(),1,0)</f>
        <v>1</v>
      </c>
      <c r="L380" s="42" t="n">
        <v>46218.4580208333</v>
      </c>
    </row>
    <row r="381" customFormat="false" ht="15" hidden="false" customHeight="true" outlineLevel="0" collapsed="false">
      <c r="A381" s="43" t="n">
        <v>380</v>
      </c>
      <c r="B381" s="44" t="s">
        <v>1177</v>
      </c>
      <c r="C381" s="44" t="s">
        <v>1178</v>
      </c>
      <c r="D381" s="44" t="s">
        <v>33</v>
      </c>
      <c r="E381" s="45" t="b">
        <f aca="false">TRUE()</f>
        <v>1</v>
      </c>
      <c r="F381" s="43" t="s">
        <v>44</v>
      </c>
      <c r="G381" s="43" t="n">
        <v>380</v>
      </c>
      <c r="H381" s="44" t="s">
        <v>1179</v>
      </c>
      <c r="I381" s="44" t="s">
        <v>36</v>
      </c>
      <c r="J381" s="44" t="s">
        <v>47</v>
      </c>
      <c r="K381" s="46" t="n">
        <f aca="false">IF(E381=TRUE(),1,0)</f>
        <v>1</v>
      </c>
      <c r="L381" s="47" t="n">
        <v>46218.4582407407</v>
      </c>
    </row>
    <row r="382" customFormat="false" ht="15" hidden="false" customHeight="true" outlineLevel="0" collapsed="false">
      <c r="A382" s="38" t="n">
        <v>381</v>
      </c>
      <c r="B382" s="39" t="s">
        <v>1180</v>
      </c>
      <c r="C382" s="39" t="s">
        <v>1181</v>
      </c>
      <c r="D382" s="39" t="s">
        <v>47</v>
      </c>
      <c r="E382" s="40" t="b">
        <f aca="false">TRUE()</f>
        <v>1</v>
      </c>
      <c r="F382" s="38" t="s">
        <v>44</v>
      </c>
      <c r="G382" s="38" t="n">
        <v>381</v>
      </c>
      <c r="H382" s="39" t="s">
        <v>1182</v>
      </c>
      <c r="I382" s="39" t="s">
        <v>46</v>
      </c>
      <c r="J382" s="39" t="s">
        <v>33</v>
      </c>
      <c r="K382" s="41" t="n">
        <f aca="false">IF(E382=TRUE(),1,0)</f>
        <v>1</v>
      </c>
      <c r="L382" s="42" t="n">
        <v>46218.4587037037</v>
      </c>
    </row>
    <row r="383" customFormat="false" ht="15" hidden="false" customHeight="true" outlineLevel="0" collapsed="false">
      <c r="A383" s="43" t="n">
        <v>382</v>
      </c>
      <c r="B383" s="44" t="s">
        <v>1183</v>
      </c>
      <c r="C383" s="44" t="s">
        <v>1184</v>
      </c>
      <c r="D383" s="44" t="s">
        <v>33</v>
      </c>
      <c r="E383" s="45" t="b">
        <f aca="false">FALSE()</f>
        <v>0</v>
      </c>
      <c r="F383" s="43" t="s">
        <v>40</v>
      </c>
      <c r="G383" s="43" t="n">
        <v>382</v>
      </c>
      <c r="H383" s="44" t="s">
        <v>1185</v>
      </c>
      <c r="I383" s="44" t="s">
        <v>36</v>
      </c>
      <c r="J383" s="44" t="s">
        <v>37</v>
      </c>
      <c r="K383" s="46" t="n">
        <f aca="false">IF(E383=TRUE(),1,0)</f>
        <v>0</v>
      </c>
      <c r="L383" s="44"/>
    </row>
    <row r="384" customFormat="false" ht="15" hidden="false" customHeight="true" outlineLevel="0" collapsed="false">
      <c r="A384" s="38" t="n">
        <v>383</v>
      </c>
      <c r="B384" s="39" t="s">
        <v>1186</v>
      </c>
      <c r="C384" s="39" t="s">
        <v>1187</v>
      </c>
      <c r="D384" s="39" t="s">
        <v>33</v>
      </c>
      <c r="E384" s="40" t="b">
        <f aca="false">FALSE()</f>
        <v>0</v>
      </c>
      <c r="F384" s="38" t="s">
        <v>44</v>
      </c>
      <c r="G384" s="38" t="n">
        <v>383</v>
      </c>
      <c r="H384" s="39" t="s">
        <v>1188</v>
      </c>
      <c r="I384" s="39" t="s">
        <v>36</v>
      </c>
      <c r="J384" s="39" t="s">
        <v>37</v>
      </c>
      <c r="K384" s="41" t="n">
        <f aca="false">IF(E384=TRUE(),1,0)</f>
        <v>0</v>
      </c>
      <c r="L384" s="39"/>
    </row>
    <row r="385" customFormat="false" ht="15" hidden="false" customHeight="true" outlineLevel="0" collapsed="false">
      <c r="A385" s="43" t="n">
        <v>384</v>
      </c>
      <c r="B385" s="44" t="s">
        <v>1189</v>
      </c>
      <c r="C385" s="44" t="s">
        <v>1190</v>
      </c>
      <c r="D385" s="44" t="s">
        <v>47</v>
      </c>
      <c r="E385" s="45" t="b">
        <f aca="false">FALSE()</f>
        <v>0</v>
      </c>
      <c r="F385" s="43" t="s">
        <v>44</v>
      </c>
      <c r="G385" s="43" t="n">
        <v>384</v>
      </c>
      <c r="H385" s="44" t="s">
        <v>1191</v>
      </c>
      <c r="I385" s="44" t="s">
        <v>57</v>
      </c>
      <c r="J385" s="44" t="s">
        <v>37</v>
      </c>
      <c r="K385" s="46" t="n">
        <f aca="false">IF(E385=TRUE(),1,0)</f>
        <v>0</v>
      </c>
      <c r="L385" s="44"/>
    </row>
    <row r="386" customFormat="false" ht="15" hidden="false" customHeight="true" outlineLevel="0" collapsed="false">
      <c r="A386" s="38" t="n">
        <v>385</v>
      </c>
      <c r="B386" s="39" t="s">
        <v>1192</v>
      </c>
      <c r="C386" s="39" t="s">
        <v>1193</v>
      </c>
      <c r="D386" s="39" t="s">
        <v>47</v>
      </c>
      <c r="E386" s="40" t="b">
        <f aca="false">TRUE()</f>
        <v>1</v>
      </c>
      <c r="F386" s="38" t="s">
        <v>44</v>
      </c>
      <c r="G386" s="38" t="n">
        <v>385</v>
      </c>
      <c r="H386" s="39" t="s">
        <v>1194</v>
      </c>
      <c r="I386" s="39" t="s">
        <v>36</v>
      </c>
      <c r="J386" s="39" t="s">
        <v>47</v>
      </c>
      <c r="K386" s="41" t="n">
        <f aca="false">IF(E386=TRUE(),1,0)</f>
        <v>1</v>
      </c>
      <c r="L386" s="42" t="n">
        <v>46218.4588657407</v>
      </c>
    </row>
    <row r="387" customFormat="false" ht="15" hidden="false" customHeight="true" outlineLevel="0" collapsed="false">
      <c r="A387" s="43" t="n">
        <v>386</v>
      </c>
      <c r="B387" s="44" t="s">
        <v>1195</v>
      </c>
      <c r="C387" s="44" t="s">
        <v>1196</v>
      </c>
      <c r="D387" s="44" t="s">
        <v>37</v>
      </c>
      <c r="E387" s="45" t="b">
        <f aca="false">TRUE()</f>
        <v>1</v>
      </c>
      <c r="F387" s="43" t="s">
        <v>34</v>
      </c>
      <c r="G387" s="43" t="n">
        <v>386</v>
      </c>
      <c r="H387" s="44" t="s">
        <v>1197</v>
      </c>
      <c r="I387" s="44" t="s">
        <v>36</v>
      </c>
      <c r="J387" s="44" t="s">
        <v>37</v>
      </c>
      <c r="K387" s="46" t="n">
        <f aca="false">IF(E387=TRUE(),1,0)</f>
        <v>1</v>
      </c>
      <c r="L387" s="47" t="n">
        <v>46218.4603819445</v>
      </c>
    </row>
    <row r="388" customFormat="false" ht="15" hidden="false" customHeight="true" outlineLevel="0" collapsed="false">
      <c r="A388" s="38" t="n">
        <v>387</v>
      </c>
      <c r="B388" s="39" t="s">
        <v>1198</v>
      </c>
      <c r="C388" s="39" t="s">
        <v>1199</v>
      </c>
      <c r="D388" s="39" t="s">
        <v>33</v>
      </c>
      <c r="E388" s="40" t="b">
        <f aca="false">FALSE()</f>
        <v>0</v>
      </c>
      <c r="F388" s="38" t="s">
        <v>40</v>
      </c>
      <c r="G388" s="38" t="n">
        <v>387</v>
      </c>
      <c r="H388" s="39" t="s">
        <v>1200</v>
      </c>
      <c r="I388" s="39" t="s">
        <v>36</v>
      </c>
      <c r="J388" s="39" t="s">
        <v>37</v>
      </c>
      <c r="K388" s="41" t="n">
        <f aca="false">IF(E388=TRUE(),1,0)</f>
        <v>0</v>
      </c>
      <c r="L388" s="39"/>
    </row>
    <row r="389" customFormat="false" ht="15" hidden="false" customHeight="true" outlineLevel="0" collapsed="false">
      <c r="A389" s="43" t="n">
        <v>388</v>
      </c>
      <c r="B389" s="44" t="s">
        <v>1201</v>
      </c>
      <c r="C389" s="44" t="s">
        <v>1202</v>
      </c>
      <c r="D389" s="44" t="s">
        <v>47</v>
      </c>
      <c r="E389" s="45" t="b">
        <f aca="false">TRUE()</f>
        <v>1</v>
      </c>
      <c r="F389" s="43" t="s">
        <v>40</v>
      </c>
      <c r="G389" s="43" t="n">
        <v>388</v>
      </c>
      <c r="H389" s="44" t="s">
        <v>1203</v>
      </c>
      <c r="I389" s="44" t="s">
        <v>57</v>
      </c>
      <c r="J389" s="44" t="s">
        <v>47</v>
      </c>
      <c r="K389" s="46" t="n">
        <f aca="false">IF(E389=TRUE(),1,0)</f>
        <v>1</v>
      </c>
      <c r="L389" s="47" t="n">
        <v>46218.4607523148</v>
      </c>
    </row>
    <row r="390" customFormat="false" ht="15" hidden="false" customHeight="true" outlineLevel="0" collapsed="false">
      <c r="A390" s="38" t="n">
        <v>389</v>
      </c>
      <c r="B390" s="39" t="s">
        <v>1204</v>
      </c>
      <c r="C390" s="39" t="s">
        <v>1205</v>
      </c>
      <c r="D390" s="39" t="s">
        <v>47</v>
      </c>
      <c r="E390" s="40" t="b">
        <f aca="false">TRUE()</f>
        <v>1</v>
      </c>
      <c r="F390" s="38" t="s">
        <v>44</v>
      </c>
      <c r="G390" s="38" t="n">
        <v>389</v>
      </c>
      <c r="H390" s="39" t="s">
        <v>1206</v>
      </c>
      <c r="I390" s="39" t="s">
        <v>57</v>
      </c>
      <c r="J390" s="39" t="s">
        <v>33</v>
      </c>
      <c r="K390" s="41" t="n">
        <f aca="false">IF(E390=TRUE(),1,0)</f>
        <v>1</v>
      </c>
      <c r="L390" s="42" t="n">
        <v>46218.4609722222</v>
      </c>
    </row>
    <row r="391" customFormat="false" ht="15" hidden="false" customHeight="true" outlineLevel="0" collapsed="false">
      <c r="A391" s="43" t="n">
        <v>390</v>
      </c>
      <c r="B391" s="44" t="s">
        <v>1207</v>
      </c>
      <c r="C391" s="44" t="s">
        <v>1208</v>
      </c>
      <c r="D391" s="44" t="s">
        <v>33</v>
      </c>
      <c r="E391" s="45" t="b">
        <f aca="false">TRUE()</f>
        <v>1</v>
      </c>
      <c r="F391" s="43" t="s">
        <v>40</v>
      </c>
      <c r="G391" s="43" t="n">
        <v>390</v>
      </c>
      <c r="H391" s="44" t="s">
        <v>1209</v>
      </c>
      <c r="I391" s="44" t="s">
        <v>46</v>
      </c>
      <c r="J391" s="44" t="s">
        <v>37</v>
      </c>
      <c r="K391" s="46" t="n">
        <f aca="false">IF(E391=TRUE(),1,0)</f>
        <v>1</v>
      </c>
      <c r="L391" s="47" t="n">
        <v>46218.4620949074</v>
      </c>
    </row>
    <row r="392" customFormat="false" ht="15" hidden="false" customHeight="true" outlineLevel="0" collapsed="false">
      <c r="A392" s="38" t="n">
        <v>391</v>
      </c>
      <c r="B392" s="39" t="s">
        <v>1210</v>
      </c>
      <c r="C392" s="39" t="s">
        <v>1211</v>
      </c>
      <c r="D392" s="39" t="s">
        <v>47</v>
      </c>
      <c r="E392" s="40" t="b">
        <f aca="false">TRUE()</f>
        <v>1</v>
      </c>
      <c r="F392" s="38" t="s">
        <v>34</v>
      </c>
      <c r="G392" s="38" t="n">
        <v>391</v>
      </c>
      <c r="H392" s="39" t="s">
        <v>1212</v>
      </c>
      <c r="I392" s="39" t="s">
        <v>46</v>
      </c>
      <c r="J392" s="39" t="s">
        <v>37</v>
      </c>
      <c r="K392" s="41" t="n">
        <f aca="false">IF(E392=TRUE(),1,0)</f>
        <v>1</v>
      </c>
      <c r="L392" s="42" t="n">
        <v>46218.4642939815</v>
      </c>
    </row>
    <row r="393" customFormat="false" ht="15" hidden="false" customHeight="true" outlineLevel="0" collapsed="false">
      <c r="A393" s="43" t="n">
        <v>392</v>
      </c>
      <c r="B393" s="44" t="s">
        <v>1213</v>
      </c>
      <c r="C393" s="44" t="s">
        <v>1214</v>
      </c>
      <c r="D393" s="44" t="s">
        <v>37</v>
      </c>
      <c r="E393" s="45" t="b">
        <f aca="false">TRUE()</f>
        <v>1</v>
      </c>
      <c r="F393" s="43" t="s">
        <v>40</v>
      </c>
      <c r="G393" s="43" t="n">
        <v>392</v>
      </c>
      <c r="H393" s="44" t="s">
        <v>1215</v>
      </c>
      <c r="I393" s="44" t="s">
        <v>36</v>
      </c>
      <c r="J393" s="44" t="s">
        <v>37</v>
      </c>
      <c r="K393" s="46" t="n">
        <f aca="false">IF(E393=TRUE(),1,0)</f>
        <v>1</v>
      </c>
      <c r="L393" s="47" t="n">
        <v>46218.464525463</v>
      </c>
    </row>
    <row r="394" customFormat="false" ht="15" hidden="false" customHeight="true" outlineLevel="0" collapsed="false">
      <c r="A394" s="38" t="n">
        <v>393</v>
      </c>
      <c r="B394" s="39" t="s">
        <v>1216</v>
      </c>
      <c r="C394" s="39" t="s">
        <v>1217</v>
      </c>
      <c r="D394" s="39" t="s">
        <v>47</v>
      </c>
      <c r="E394" s="40" t="b">
        <f aca="false">TRUE()</f>
        <v>1</v>
      </c>
      <c r="F394" s="38" t="s">
        <v>44</v>
      </c>
      <c r="G394" s="38" t="n">
        <v>393</v>
      </c>
      <c r="H394" s="39" t="s">
        <v>1218</v>
      </c>
      <c r="I394" s="39" t="s">
        <v>36</v>
      </c>
      <c r="J394" s="39" t="s">
        <v>47</v>
      </c>
      <c r="K394" s="41" t="n">
        <f aca="false">IF(E394=TRUE(),1,0)</f>
        <v>1</v>
      </c>
      <c r="L394" s="42" t="n">
        <v>46218.4653125</v>
      </c>
    </row>
    <row r="395" customFormat="false" ht="15" hidden="false" customHeight="true" outlineLevel="0" collapsed="false">
      <c r="A395" s="43" t="n">
        <v>394</v>
      </c>
      <c r="B395" s="44" t="s">
        <v>1219</v>
      </c>
      <c r="C395" s="44" t="s">
        <v>1220</v>
      </c>
      <c r="D395" s="44" t="s">
        <v>37</v>
      </c>
      <c r="E395" s="45" t="b">
        <f aca="false">FALSE()</f>
        <v>0</v>
      </c>
      <c r="F395" s="43" t="s">
        <v>34</v>
      </c>
      <c r="G395" s="43" t="n">
        <v>394</v>
      </c>
      <c r="H395" s="44" t="s">
        <v>1221</v>
      </c>
      <c r="I395" s="44" t="s">
        <v>57</v>
      </c>
      <c r="J395" s="44" t="s">
        <v>33</v>
      </c>
      <c r="K395" s="46" t="n">
        <f aca="false">IF(E395=TRUE(),1,0)</f>
        <v>0</v>
      </c>
      <c r="L395" s="44"/>
    </row>
    <row r="396" customFormat="false" ht="15" hidden="false" customHeight="true" outlineLevel="0" collapsed="false">
      <c r="A396" s="38" t="n">
        <v>395</v>
      </c>
      <c r="B396" s="39" t="s">
        <v>1222</v>
      </c>
      <c r="C396" s="39" t="s">
        <v>1223</v>
      </c>
      <c r="D396" s="39" t="s">
        <v>37</v>
      </c>
      <c r="E396" s="40" t="b">
        <f aca="false">FALSE()</f>
        <v>0</v>
      </c>
      <c r="F396" s="38" t="s">
        <v>40</v>
      </c>
      <c r="G396" s="38" t="n">
        <v>395</v>
      </c>
      <c r="H396" s="39" t="s">
        <v>1224</v>
      </c>
      <c r="I396" s="39" t="s">
        <v>36</v>
      </c>
      <c r="J396" s="39" t="s">
        <v>33</v>
      </c>
      <c r="K396" s="41" t="n">
        <f aca="false">IF(E396=TRUE(),1,0)</f>
        <v>0</v>
      </c>
      <c r="L396" s="39"/>
    </row>
    <row r="397" customFormat="false" ht="15" hidden="false" customHeight="true" outlineLevel="0" collapsed="false">
      <c r="A397" s="43" t="n">
        <v>396</v>
      </c>
      <c r="B397" s="44" t="s">
        <v>1225</v>
      </c>
      <c r="C397" s="44" t="s">
        <v>1226</v>
      </c>
      <c r="D397" s="44" t="s">
        <v>33</v>
      </c>
      <c r="E397" s="45" t="b">
        <f aca="false">TRUE()</f>
        <v>1</v>
      </c>
      <c r="F397" s="43" t="s">
        <v>34</v>
      </c>
      <c r="G397" s="43" t="n">
        <v>396</v>
      </c>
      <c r="H397" s="44" t="s">
        <v>1227</v>
      </c>
      <c r="I397" s="44" t="s">
        <v>36</v>
      </c>
      <c r="J397" s="44" t="s">
        <v>47</v>
      </c>
      <c r="K397" s="46" t="n">
        <f aca="false">IF(E397=TRUE(),1,0)</f>
        <v>1</v>
      </c>
      <c r="L397" s="47" t="n">
        <v>46218.4653935185</v>
      </c>
    </row>
    <row r="398" customFormat="false" ht="15" hidden="false" customHeight="true" outlineLevel="0" collapsed="false">
      <c r="A398" s="38" t="n">
        <v>397</v>
      </c>
      <c r="B398" s="39" t="s">
        <v>1228</v>
      </c>
      <c r="C398" s="39" t="s">
        <v>1229</v>
      </c>
      <c r="D398" s="39" t="s">
        <v>37</v>
      </c>
      <c r="E398" s="40" t="b">
        <f aca="false">FALSE()</f>
        <v>0</v>
      </c>
      <c r="F398" s="38" t="s">
        <v>44</v>
      </c>
      <c r="G398" s="38" t="n">
        <v>397</v>
      </c>
      <c r="H398" s="39" t="s">
        <v>1230</v>
      </c>
      <c r="I398" s="39" t="s">
        <v>57</v>
      </c>
      <c r="J398" s="39" t="s">
        <v>47</v>
      </c>
      <c r="K398" s="41" t="n">
        <f aca="false">IF(E398=TRUE(),1,0)</f>
        <v>0</v>
      </c>
      <c r="L398" s="39"/>
    </row>
    <row r="399" customFormat="false" ht="15" hidden="false" customHeight="true" outlineLevel="0" collapsed="false">
      <c r="A399" s="43" t="n">
        <v>398</v>
      </c>
      <c r="B399" s="44" t="s">
        <v>1231</v>
      </c>
      <c r="C399" s="44" t="s">
        <v>1232</v>
      </c>
      <c r="D399" s="44" t="s">
        <v>37</v>
      </c>
      <c r="E399" s="45" t="b">
        <f aca="false">TRUE()</f>
        <v>1</v>
      </c>
      <c r="F399" s="43" t="s">
        <v>34</v>
      </c>
      <c r="G399" s="43" t="n">
        <v>398</v>
      </c>
      <c r="H399" s="44" t="s">
        <v>1233</v>
      </c>
      <c r="I399" s="44" t="s">
        <v>36</v>
      </c>
      <c r="J399" s="44" t="s">
        <v>33</v>
      </c>
      <c r="K399" s="46" t="n">
        <f aca="false">IF(E399=TRUE(),1,0)</f>
        <v>1</v>
      </c>
      <c r="L399" s="47" t="n">
        <v>46218.4662037037</v>
      </c>
    </row>
    <row r="400" customFormat="false" ht="15" hidden="false" customHeight="true" outlineLevel="0" collapsed="false">
      <c r="A400" s="38" t="n">
        <v>399</v>
      </c>
      <c r="B400" s="39" t="s">
        <v>1234</v>
      </c>
      <c r="C400" s="39" t="s">
        <v>1235</v>
      </c>
      <c r="D400" s="39" t="s">
        <v>47</v>
      </c>
      <c r="E400" s="40" t="b">
        <f aca="false">TRUE()</f>
        <v>1</v>
      </c>
      <c r="F400" s="38" t="s">
        <v>44</v>
      </c>
      <c r="G400" s="38" t="n">
        <v>399</v>
      </c>
      <c r="H400" s="39" t="s">
        <v>1236</v>
      </c>
      <c r="I400" s="39" t="s">
        <v>46</v>
      </c>
      <c r="J400" s="39" t="s">
        <v>33</v>
      </c>
      <c r="K400" s="41" t="n">
        <f aca="false">IF(E400=TRUE(),1,0)</f>
        <v>1</v>
      </c>
      <c r="L400" s="42" t="n">
        <v>46218.4681365741</v>
      </c>
    </row>
    <row r="401" customFormat="false" ht="15" hidden="false" customHeight="true" outlineLevel="0" collapsed="false">
      <c r="A401" s="43" t="n">
        <v>400</v>
      </c>
      <c r="B401" s="44" t="s">
        <v>1237</v>
      </c>
      <c r="C401" s="44" t="s">
        <v>1238</v>
      </c>
      <c r="D401" s="44" t="s">
        <v>47</v>
      </c>
      <c r="E401" s="45" t="b">
        <f aca="false">TRUE()</f>
        <v>1</v>
      </c>
      <c r="F401" s="43" t="s">
        <v>40</v>
      </c>
      <c r="G401" s="43" t="n">
        <v>400</v>
      </c>
      <c r="H401" s="44" t="s">
        <v>1239</v>
      </c>
      <c r="I401" s="44" t="s">
        <v>46</v>
      </c>
      <c r="J401" s="44" t="s">
        <v>47</v>
      </c>
      <c r="K401" s="46" t="n">
        <f aca="false">IF(E401=TRUE(),1,0)</f>
        <v>1</v>
      </c>
      <c r="L401" s="47" t="n">
        <v>46218.4682407407</v>
      </c>
    </row>
    <row r="402" customFormat="false" ht="15" hidden="false" customHeight="true" outlineLevel="0" collapsed="false">
      <c r="A402" s="38" t="n">
        <v>401</v>
      </c>
      <c r="B402" s="39" t="s">
        <v>1240</v>
      </c>
      <c r="C402" s="39" t="s">
        <v>1241</v>
      </c>
      <c r="D402" s="39" t="s">
        <v>47</v>
      </c>
      <c r="E402" s="40" t="b">
        <f aca="false">FALSE()</f>
        <v>0</v>
      </c>
      <c r="F402" s="38" t="s">
        <v>40</v>
      </c>
      <c r="G402" s="38" t="n">
        <v>401</v>
      </c>
      <c r="H402" s="39" t="s">
        <v>1242</v>
      </c>
      <c r="I402" s="39" t="s">
        <v>57</v>
      </c>
      <c r="J402" s="39" t="s">
        <v>33</v>
      </c>
      <c r="K402" s="41" t="n">
        <f aca="false">IF(E402=TRUE(),1,0)</f>
        <v>0</v>
      </c>
      <c r="L402" s="39"/>
    </row>
    <row r="403" customFormat="false" ht="15" hidden="false" customHeight="true" outlineLevel="0" collapsed="false">
      <c r="A403" s="43" t="n">
        <v>402</v>
      </c>
      <c r="B403" s="44" t="s">
        <v>1243</v>
      </c>
      <c r="C403" s="44" t="s">
        <v>1244</v>
      </c>
      <c r="D403" s="44" t="s">
        <v>33</v>
      </c>
      <c r="E403" s="45" t="b">
        <f aca="false">FALSE()</f>
        <v>0</v>
      </c>
      <c r="F403" s="43" t="s">
        <v>44</v>
      </c>
      <c r="G403" s="43" t="n">
        <v>402</v>
      </c>
      <c r="H403" s="44" t="s">
        <v>1245</v>
      </c>
      <c r="I403" s="44" t="s">
        <v>36</v>
      </c>
      <c r="J403" s="44" t="s">
        <v>33</v>
      </c>
      <c r="K403" s="46" t="n">
        <f aca="false">IF(E403=TRUE(),1,0)</f>
        <v>0</v>
      </c>
      <c r="L403" s="44"/>
    </row>
    <row r="404" customFormat="false" ht="15" hidden="false" customHeight="true" outlineLevel="0" collapsed="false">
      <c r="A404" s="38" t="n">
        <v>403</v>
      </c>
      <c r="B404" s="39" t="s">
        <v>1246</v>
      </c>
      <c r="C404" s="39" t="s">
        <v>1247</v>
      </c>
      <c r="D404" s="39" t="s">
        <v>37</v>
      </c>
      <c r="E404" s="40" t="b">
        <f aca="false">TRUE()</f>
        <v>1</v>
      </c>
      <c r="F404" s="38" t="s">
        <v>40</v>
      </c>
      <c r="G404" s="38" t="n">
        <v>403</v>
      </c>
      <c r="H404" s="39" t="s">
        <v>1248</v>
      </c>
      <c r="I404" s="39" t="s">
        <v>57</v>
      </c>
      <c r="J404" s="39" t="s">
        <v>47</v>
      </c>
      <c r="K404" s="41" t="n">
        <f aca="false">IF(E404=TRUE(),1,0)</f>
        <v>1</v>
      </c>
      <c r="L404" s="42" t="n">
        <v>46218.4700694445</v>
      </c>
    </row>
    <row r="405" customFormat="false" ht="15" hidden="false" customHeight="true" outlineLevel="0" collapsed="false">
      <c r="A405" s="43" t="n">
        <v>404</v>
      </c>
      <c r="B405" s="44" t="s">
        <v>1249</v>
      </c>
      <c r="C405" s="44" t="s">
        <v>1250</v>
      </c>
      <c r="D405" s="44" t="s">
        <v>37</v>
      </c>
      <c r="E405" s="45" t="b">
        <f aca="false">FALSE()</f>
        <v>0</v>
      </c>
      <c r="F405" s="43" t="s">
        <v>40</v>
      </c>
      <c r="G405" s="43" t="n">
        <v>404</v>
      </c>
      <c r="H405" s="44" t="s">
        <v>1251</v>
      </c>
      <c r="I405" s="44" t="s">
        <v>46</v>
      </c>
      <c r="J405" s="44" t="s">
        <v>33</v>
      </c>
      <c r="K405" s="46" t="n">
        <f aca="false">IF(E405=TRUE(),1,0)</f>
        <v>0</v>
      </c>
      <c r="L405" s="44"/>
    </row>
    <row r="406" customFormat="false" ht="15" hidden="false" customHeight="true" outlineLevel="0" collapsed="false">
      <c r="A406" s="38" t="n">
        <v>405</v>
      </c>
      <c r="B406" s="39" t="s">
        <v>1252</v>
      </c>
      <c r="C406" s="39" t="s">
        <v>1253</v>
      </c>
      <c r="D406" s="39" t="s">
        <v>47</v>
      </c>
      <c r="E406" s="40" t="b">
        <f aca="false">TRUE()</f>
        <v>1</v>
      </c>
      <c r="F406" s="38" t="s">
        <v>44</v>
      </c>
      <c r="G406" s="38" t="n">
        <v>405</v>
      </c>
      <c r="H406" s="39" t="s">
        <v>1254</v>
      </c>
      <c r="I406" s="39" t="s">
        <v>57</v>
      </c>
      <c r="J406" s="39" t="s">
        <v>33</v>
      </c>
      <c r="K406" s="41" t="n">
        <f aca="false">IF(E406=TRUE(),1,0)</f>
        <v>1</v>
      </c>
      <c r="L406" s="42" t="n">
        <v>46218.4709606482</v>
      </c>
    </row>
    <row r="407" customFormat="false" ht="15" hidden="false" customHeight="true" outlineLevel="0" collapsed="false">
      <c r="A407" s="43" t="n">
        <v>406</v>
      </c>
      <c r="B407" s="44" t="s">
        <v>1255</v>
      </c>
      <c r="C407" s="44" t="s">
        <v>1256</v>
      </c>
      <c r="D407" s="44" t="s">
        <v>37</v>
      </c>
      <c r="E407" s="45" t="b">
        <f aca="false">TRUE()</f>
        <v>1</v>
      </c>
      <c r="F407" s="43" t="s">
        <v>34</v>
      </c>
      <c r="G407" s="43" t="n">
        <v>406</v>
      </c>
      <c r="H407" s="44" t="s">
        <v>1257</v>
      </c>
      <c r="I407" s="44" t="s">
        <v>57</v>
      </c>
      <c r="J407" s="44" t="s">
        <v>37</v>
      </c>
      <c r="K407" s="46" t="n">
        <f aca="false">IF(E407=TRUE(),1,0)</f>
        <v>1</v>
      </c>
      <c r="L407" s="47" t="n">
        <v>46218.4712268519</v>
      </c>
    </row>
    <row r="408" customFormat="false" ht="15" hidden="false" customHeight="true" outlineLevel="0" collapsed="false">
      <c r="A408" s="38" t="n">
        <v>407</v>
      </c>
      <c r="B408" s="39" t="s">
        <v>1258</v>
      </c>
      <c r="C408" s="39" t="s">
        <v>1259</v>
      </c>
      <c r="D408" s="39" t="s">
        <v>33</v>
      </c>
      <c r="E408" s="40" t="b">
        <f aca="false">TRUE()</f>
        <v>1</v>
      </c>
      <c r="F408" s="38" t="s">
        <v>34</v>
      </c>
      <c r="G408" s="38" t="n">
        <v>407</v>
      </c>
      <c r="H408" s="39" t="s">
        <v>1260</v>
      </c>
      <c r="I408" s="39" t="s">
        <v>57</v>
      </c>
      <c r="J408" s="39" t="s">
        <v>37</v>
      </c>
      <c r="K408" s="41" t="n">
        <f aca="false">IF(E408=TRUE(),1,0)</f>
        <v>1</v>
      </c>
      <c r="L408" s="42" t="n">
        <v>46218.4721875</v>
      </c>
    </row>
    <row r="409" customFormat="false" ht="15" hidden="false" customHeight="true" outlineLevel="0" collapsed="false">
      <c r="A409" s="43" t="n">
        <v>408</v>
      </c>
      <c r="B409" s="44" t="s">
        <v>1261</v>
      </c>
      <c r="C409" s="44" t="s">
        <v>1262</v>
      </c>
      <c r="D409" s="44" t="s">
        <v>37</v>
      </c>
      <c r="E409" s="45" t="b">
        <f aca="false">TRUE()</f>
        <v>1</v>
      </c>
      <c r="F409" s="43" t="s">
        <v>40</v>
      </c>
      <c r="G409" s="43" t="n">
        <v>408</v>
      </c>
      <c r="H409" s="44" t="s">
        <v>1263</v>
      </c>
      <c r="I409" s="44" t="s">
        <v>46</v>
      </c>
      <c r="J409" s="44" t="s">
        <v>47</v>
      </c>
      <c r="K409" s="46" t="n">
        <f aca="false">IF(E409=TRUE(),1,0)</f>
        <v>1</v>
      </c>
      <c r="L409" s="47" t="n">
        <v>46218.4727083333</v>
      </c>
    </row>
    <row r="410" customFormat="false" ht="15" hidden="false" customHeight="true" outlineLevel="0" collapsed="false">
      <c r="A410" s="38" t="n">
        <v>409</v>
      </c>
      <c r="B410" s="39" t="s">
        <v>1264</v>
      </c>
      <c r="C410" s="39" t="s">
        <v>1265</v>
      </c>
      <c r="D410" s="39" t="s">
        <v>37</v>
      </c>
      <c r="E410" s="40" t="b">
        <f aca="false">TRUE()</f>
        <v>1</v>
      </c>
      <c r="F410" s="38" t="s">
        <v>34</v>
      </c>
      <c r="G410" s="38" t="n">
        <v>409</v>
      </c>
      <c r="H410" s="39" t="s">
        <v>1266</v>
      </c>
      <c r="I410" s="39" t="s">
        <v>36</v>
      </c>
      <c r="J410" s="39" t="s">
        <v>47</v>
      </c>
      <c r="K410" s="41" t="n">
        <f aca="false">IF(E410=TRUE(),1,0)</f>
        <v>1</v>
      </c>
      <c r="L410" s="42" t="n">
        <v>46218.473287037</v>
      </c>
    </row>
    <row r="411" customFormat="false" ht="15" hidden="false" customHeight="true" outlineLevel="0" collapsed="false">
      <c r="A411" s="43" t="n">
        <v>410</v>
      </c>
      <c r="B411" s="44" t="s">
        <v>1267</v>
      </c>
      <c r="C411" s="44" t="s">
        <v>1268</v>
      </c>
      <c r="D411" s="44" t="s">
        <v>37</v>
      </c>
      <c r="E411" s="45" t="b">
        <f aca="false">TRUE()</f>
        <v>1</v>
      </c>
      <c r="F411" s="43" t="s">
        <v>34</v>
      </c>
      <c r="G411" s="43" t="n">
        <v>410</v>
      </c>
      <c r="H411" s="44" t="s">
        <v>1269</v>
      </c>
      <c r="I411" s="44" t="s">
        <v>46</v>
      </c>
      <c r="J411" s="44" t="s">
        <v>33</v>
      </c>
      <c r="K411" s="46" t="n">
        <f aca="false">IF(E411=TRUE(),1,0)</f>
        <v>1</v>
      </c>
      <c r="L411" s="47" t="n">
        <v>46218.4743634259</v>
      </c>
    </row>
    <row r="412" customFormat="false" ht="15" hidden="false" customHeight="true" outlineLevel="0" collapsed="false">
      <c r="A412" s="38" t="n">
        <v>411</v>
      </c>
      <c r="B412" s="39" t="s">
        <v>1270</v>
      </c>
      <c r="C412" s="39" t="s">
        <v>1271</v>
      </c>
      <c r="D412" s="39" t="s">
        <v>47</v>
      </c>
      <c r="E412" s="40" t="b">
        <f aca="false">TRUE()</f>
        <v>1</v>
      </c>
      <c r="F412" s="38" t="s">
        <v>44</v>
      </c>
      <c r="G412" s="38" t="n">
        <v>411</v>
      </c>
      <c r="H412" s="39" t="s">
        <v>1272</v>
      </c>
      <c r="I412" s="39" t="s">
        <v>46</v>
      </c>
      <c r="J412" s="39" t="s">
        <v>47</v>
      </c>
      <c r="K412" s="41" t="n">
        <f aca="false">IF(E412=TRUE(),1,0)</f>
        <v>1</v>
      </c>
      <c r="L412" s="42" t="n">
        <v>46218.4759837963</v>
      </c>
    </row>
    <row r="413" customFormat="false" ht="15" hidden="false" customHeight="true" outlineLevel="0" collapsed="false">
      <c r="A413" s="43" t="n">
        <v>412</v>
      </c>
      <c r="B413" s="44" t="s">
        <v>1273</v>
      </c>
      <c r="C413" s="44" t="s">
        <v>1274</v>
      </c>
      <c r="D413" s="44" t="s">
        <v>47</v>
      </c>
      <c r="E413" s="45" t="b">
        <f aca="false">FALSE()</f>
        <v>0</v>
      </c>
      <c r="F413" s="43" t="s">
        <v>44</v>
      </c>
      <c r="G413" s="43" t="n">
        <v>412</v>
      </c>
      <c r="H413" s="44" t="s">
        <v>1275</v>
      </c>
      <c r="I413" s="44" t="s">
        <v>57</v>
      </c>
      <c r="J413" s="44" t="s">
        <v>33</v>
      </c>
      <c r="K413" s="46" t="n">
        <f aca="false">IF(E413=TRUE(),1,0)</f>
        <v>0</v>
      </c>
      <c r="L413" s="44"/>
    </row>
    <row r="414" customFormat="false" ht="15" hidden="false" customHeight="true" outlineLevel="0" collapsed="false">
      <c r="A414" s="38" t="n">
        <v>413</v>
      </c>
      <c r="B414" s="39" t="s">
        <v>1276</v>
      </c>
      <c r="C414" s="39" t="s">
        <v>1277</v>
      </c>
      <c r="D414" s="39" t="s">
        <v>47</v>
      </c>
      <c r="E414" s="40" t="b">
        <f aca="false">FALSE()</f>
        <v>0</v>
      </c>
      <c r="F414" s="38" t="s">
        <v>40</v>
      </c>
      <c r="G414" s="38" t="n">
        <v>413</v>
      </c>
      <c r="H414" s="39" t="s">
        <v>1278</v>
      </c>
      <c r="I414" s="39" t="s">
        <v>36</v>
      </c>
      <c r="J414" s="39" t="s">
        <v>33</v>
      </c>
      <c r="K414" s="41" t="n">
        <f aca="false">IF(E414=TRUE(),1,0)</f>
        <v>0</v>
      </c>
      <c r="L414" s="39"/>
    </row>
    <row r="415" customFormat="false" ht="15" hidden="false" customHeight="true" outlineLevel="0" collapsed="false">
      <c r="A415" s="43" t="n">
        <v>414</v>
      </c>
      <c r="B415" s="44" t="s">
        <v>1279</v>
      </c>
      <c r="C415" s="44" t="s">
        <v>1280</v>
      </c>
      <c r="D415" s="44" t="s">
        <v>47</v>
      </c>
      <c r="E415" s="45" t="b">
        <f aca="false">TRUE()</f>
        <v>1</v>
      </c>
      <c r="F415" s="43" t="s">
        <v>34</v>
      </c>
      <c r="G415" s="43" t="n">
        <v>414</v>
      </c>
      <c r="H415" s="44" t="s">
        <v>1281</v>
      </c>
      <c r="I415" s="44" t="s">
        <v>57</v>
      </c>
      <c r="J415" s="44" t="s">
        <v>37</v>
      </c>
      <c r="K415" s="46" t="n">
        <f aca="false">IF(E415=TRUE(),1,0)</f>
        <v>1</v>
      </c>
      <c r="L415" s="47" t="n">
        <v>46218.4769560185</v>
      </c>
    </row>
    <row r="416" customFormat="false" ht="15" hidden="false" customHeight="true" outlineLevel="0" collapsed="false">
      <c r="A416" s="38" t="n">
        <v>415</v>
      </c>
      <c r="B416" s="39" t="s">
        <v>1282</v>
      </c>
      <c r="C416" s="39" t="s">
        <v>1283</v>
      </c>
      <c r="D416" s="39" t="s">
        <v>37</v>
      </c>
      <c r="E416" s="40" t="b">
        <f aca="false">TRUE()</f>
        <v>1</v>
      </c>
      <c r="F416" s="38" t="s">
        <v>40</v>
      </c>
      <c r="G416" s="38" t="n">
        <v>415</v>
      </c>
      <c r="H416" s="39" t="s">
        <v>1284</v>
      </c>
      <c r="I416" s="39" t="s">
        <v>46</v>
      </c>
      <c r="J416" s="39" t="s">
        <v>47</v>
      </c>
      <c r="K416" s="41" t="n">
        <f aca="false">IF(E416=TRUE(),1,0)</f>
        <v>1</v>
      </c>
      <c r="L416" s="42" t="n">
        <v>46218.477349537</v>
      </c>
    </row>
    <row r="417" customFormat="false" ht="15" hidden="false" customHeight="true" outlineLevel="0" collapsed="false">
      <c r="A417" s="43" t="n">
        <v>416</v>
      </c>
      <c r="B417" s="44" t="s">
        <v>1285</v>
      </c>
      <c r="C417" s="44" t="s">
        <v>1286</v>
      </c>
      <c r="D417" s="44" t="s">
        <v>47</v>
      </c>
      <c r="E417" s="45" t="b">
        <f aca="false">FALSE()</f>
        <v>0</v>
      </c>
      <c r="F417" s="43" t="s">
        <v>44</v>
      </c>
      <c r="G417" s="43" t="n">
        <v>416</v>
      </c>
      <c r="H417" s="44" t="s">
        <v>1287</v>
      </c>
      <c r="I417" s="44" t="s">
        <v>36</v>
      </c>
      <c r="J417" s="44" t="s">
        <v>33</v>
      </c>
      <c r="K417" s="46" t="n">
        <f aca="false">IF(E417=TRUE(),1,0)</f>
        <v>0</v>
      </c>
      <c r="L417" s="44"/>
    </row>
    <row r="418" customFormat="false" ht="15" hidden="false" customHeight="true" outlineLevel="0" collapsed="false">
      <c r="A418" s="38" t="n">
        <v>417</v>
      </c>
      <c r="B418" s="39" t="s">
        <v>1288</v>
      </c>
      <c r="C418" s="39" t="s">
        <v>1289</v>
      </c>
      <c r="D418" s="39" t="s">
        <v>33</v>
      </c>
      <c r="E418" s="40" t="b">
        <f aca="false">TRUE()</f>
        <v>1</v>
      </c>
      <c r="F418" s="38" t="s">
        <v>34</v>
      </c>
      <c r="G418" s="38" t="n">
        <v>417</v>
      </c>
      <c r="H418" s="39" t="s">
        <v>1290</v>
      </c>
      <c r="I418" s="39" t="s">
        <v>46</v>
      </c>
      <c r="J418" s="39" t="s">
        <v>37</v>
      </c>
      <c r="K418" s="41" t="n">
        <f aca="false">IF(E418=TRUE(),1,0)</f>
        <v>1</v>
      </c>
      <c r="L418" s="42" t="n">
        <v>46218.4774189815</v>
      </c>
    </row>
    <row r="419" customFormat="false" ht="15" hidden="false" customHeight="true" outlineLevel="0" collapsed="false">
      <c r="A419" s="43" t="n">
        <v>418</v>
      </c>
      <c r="B419" s="44" t="s">
        <v>1291</v>
      </c>
      <c r="C419" s="44" t="s">
        <v>1292</v>
      </c>
      <c r="D419" s="44" t="s">
        <v>37</v>
      </c>
      <c r="E419" s="45" t="b">
        <f aca="false">TRUE()</f>
        <v>1</v>
      </c>
      <c r="F419" s="43" t="s">
        <v>44</v>
      </c>
      <c r="G419" s="43" t="n">
        <v>418</v>
      </c>
      <c r="H419" s="44" t="s">
        <v>1293</v>
      </c>
      <c r="I419" s="44" t="s">
        <v>46</v>
      </c>
      <c r="J419" s="44" t="s">
        <v>47</v>
      </c>
      <c r="K419" s="46" t="n">
        <f aca="false">IF(E419=TRUE(),1,0)</f>
        <v>1</v>
      </c>
      <c r="L419" s="47" t="n">
        <v>46218.4784143519</v>
      </c>
    </row>
    <row r="420" customFormat="false" ht="15" hidden="false" customHeight="true" outlineLevel="0" collapsed="false">
      <c r="A420" s="38" t="n">
        <v>419</v>
      </c>
      <c r="B420" s="39" t="s">
        <v>1294</v>
      </c>
      <c r="C420" s="39" t="s">
        <v>1295</v>
      </c>
      <c r="D420" s="39" t="s">
        <v>33</v>
      </c>
      <c r="E420" s="40" t="b">
        <f aca="false">FALSE()</f>
        <v>0</v>
      </c>
      <c r="F420" s="38" t="s">
        <v>44</v>
      </c>
      <c r="G420" s="38" t="n">
        <v>419</v>
      </c>
      <c r="H420" s="39" t="s">
        <v>1296</v>
      </c>
      <c r="I420" s="39" t="s">
        <v>36</v>
      </c>
      <c r="J420" s="39" t="s">
        <v>33</v>
      </c>
      <c r="K420" s="41" t="n">
        <f aca="false">IF(E420=TRUE(),1,0)</f>
        <v>0</v>
      </c>
      <c r="L420" s="39"/>
    </row>
    <row r="421" customFormat="false" ht="15" hidden="false" customHeight="true" outlineLevel="0" collapsed="false">
      <c r="A421" s="43" t="n">
        <v>420</v>
      </c>
      <c r="B421" s="44" t="s">
        <v>1297</v>
      </c>
      <c r="C421" s="44" t="s">
        <v>1298</v>
      </c>
      <c r="D421" s="44" t="s">
        <v>37</v>
      </c>
      <c r="E421" s="45" t="b">
        <f aca="false">TRUE()</f>
        <v>1</v>
      </c>
      <c r="F421" s="43" t="s">
        <v>44</v>
      </c>
      <c r="G421" s="43" t="n">
        <v>420</v>
      </c>
      <c r="H421" s="44" t="s">
        <v>1299</v>
      </c>
      <c r="I421" s="44" t="s">
        <v>46</v>
      </c>
      <c r="J421" s="44" t="s">
        <v>47</v>
      </c>
      <c r="K421" s="46" t="n">
        <f aca="false">IF(E421=TRUE(),1,0)</f>
        <v>1</v>
      </c>
      <c r="L421" s="47" t="n">
        <v>46218.4787268519</v>
      </c>
    </row>
    <row r="422" customFormat="false" ht="15" hidden="false" customHeight="true" outlineLevel="0" collapsed="false">
      <c r="A422" s="38" t="n">
        <v>421</v>
      </c>
      <c r="B422" s="39" t="s">
        <v>1300</v>
      </c>
      <c r="C422" s="39" t="s">
        <v>1301</v>
      </c>
      <c r="D422" s="39" t="s">
        <v>47</v>
      </c>
      <c r="E422" s="40" t="b">
        <f aca="false">FALSE()</f>
        <v>0</v>
      </c>
      <c r="F422" s="38" t="s">
        <v>34</v>
      </c>
      <c r="G422" s="38" t="n">
        <v>421</v>
      </c>
      <c r="H422" s="39" t="s">
        <v>1302</v>
      </c>
      <c r="I422" s="39" t="s">
        <v>36</v>
      </c>
      <c r="J422" s="39" t="s">
        <v>37</v>
      </c>
      <c r="K422" s="41" t="n">
        <f aca="false">IF(E422=TRUE(),1,0)</f>
        <v>0</v>
      </c>
      <c r="L422" s="39"/>
    </row>
    <row r="423" customFormat="false" ht="15" hidden="false" customHeight="true" outlineLevel="0" collapsed="false">
      <c r="A423" s="43" t="n">
        <v>422</v>
      </c>
      <c r="B423" s="44" t="s">
        <v>1303</v>
      </c>
      <c r="C423" s="44" t="s">
        <v>1304</v>
      </c>
      <c r="D423" s="44" t="s">
        <v>33</v>
      </c>
      <c r="E423" s="45" t="b">
        <f aca="false">FALSE()</f>
        <v>0</v>
      </c>
      <c r="F423" s="43" t="s">
        <v>44</v>
      </c>
      <c r="G423" s="43" t="n">
        <v>422</v>
      </c>
      <c r="H423" s="44" t="s">
        <v>1305</v>
      </c>
      <c r="I423" s="44" t="s">
        <v>57</v>
      </c>
      <c r="J423" s="44" t="s">
        <v>47</v>
      </c>
      <c r="K423" s="46" t="n">
        <f aca="false">IF(E423=TRUE(),1,0)</f>
        <v>0</v>
      </c>
      <c r="L423" s="44"/>
    </row>
    <row r="424" customFormat="false" ht="15" hidden="false" customHeight="true" outlineLevel="0" collapsed="false">
      <c r="A424" s="38" t="n">
        <v>423</v>
      </c>
      <c r="B424" s="39" t="s">
        <v>1306</v>
      </c>
      <c r="C424" s="39" t="s">
        <v>1307</v>
      </c>
      <c r="D424" s="39" t="s">
        <v>47</v>
      </c>
      <c r="E424" s="40" t="b">
        <f aca="false">FALSE()</f>
        <v>0</v>
      </c>
      <c r="F424" s="38" t="s">
        <v>44</v>
      </c>
      <c r="G424" s="38" t="n">
        <v>423</v>
      </c>
      <c r="H424" s="39" t="s">
        <v>1308</v>
      </c>
      <c r="I424" s="39" t="s">
        <v>36</v>
      </c>
      <c r="J424" s="39" t="s">
        <v>37</v>
      </c>
      <c r="K424" s="41" t="n">
        <f aca="false">IF(E424=TRUE(),1,0)</f>
        <v>0</v>
      </c>
      <c r="L424" s="39"/>
    </row>
    <row r="425" customFormat="false" ht="15" hidden="false" customHeight="true" outlineLevel="0" collapsed="false">
      <c r="A425" s="43" t="n">
        <v>424</v>
      </c>
      <c r="B425" s="44" t="s">
        <v>1309</v>
      </c>
      <c r="C425" s="44" t="s">
        <v>1310</v>
      </c>
      <c r="D425" s="44" t="s">
        <v>33</v>
      </c>
      <c r="E425" s="45" t="b">
        <f aca="false">TRUE()</f>
        <v>1</v>
      </c>
      <c r="F425" s="43" t="s">
        <v>40</v>
      </c>
      <c r="G425" s="43" t="n">
        <v>424</v>
      </c>
      <c r="H425" s="44" t="s">
        <v>1311</v>
      </c>
      <c r="I425" s="44" t="s">
        <v>46</v>
      </c>
      <c r="J425" s="44" t="s">
        <v>37</v>
      </c>
      <c r="K425" s="46" t="n">
        <f aca="false">IF(E425=TRUE(),1,0)</f>
        <v>1</v>
      </c>
      <c r="L425" s="47" t="n">
        <v>46218.4796990741</v>
      </c>
    </row>
    <row r="426" customFormat="false" ht="15" hidden="false" customHeight="true" outlineLevel="0" collapsed="false">
      <c r="A426" s="38" t="n">
        <v>425</v>
      </c>
      <c r="B426" s="39" t="s">
        <v>1312</v>
      </c>
      <c r="C426" s="39" t="s">
        <v>1313</v>
      </c>
      <c r="D426" s="39" t="s">
        <v>37</v>
      </c>
      <c r="E426" s="40" t="b">
        <f aca="false">TRUE()</f>
        <v>1</v>
      </c>
      <c r="F426" s="38" t="s">
        <v>44</v>
      </c>
      <c r="G426" s="38" t="n">
        <v>425</v>
      </c>
      <c r="H426" s="39" t="s">
        <v>1314</v>
      </c>
      <c r="I426" s="39" t="s">
        <v>57</v>
      </c>
      <c r="J426" s="39" t="s">
        <v>37</v>
      </c>
      <c r="K426" s="41" t="n">
        <f aca="false">IF(E426=TRUE(),1,0)</f>
        <v>1</v>
      </c>
      <c r="L426" s="42" t="n">
        <v>46218.4798958333</v>
      </c>
    </row>
    <row r="427" customFormat="false" ht="15" hidden="false" customHeight="true" outlineLevel="0" collapsed="false">
      <c r="A427" s="43" t="n">
        <v>426</v>
      </c>
      <c r="B427" s="44" t="s">
        <v>1315</v>
      </c>
      <c r="C427" s="44" t="s">
        <v>1316</v>
      </c>
      <c r="D427" s="44" t="s">
        <v>33</v>
      </c>
      <c r="E427" s="45" t="b">
        <f aca="false">FALSE()</f>
        <v>0</v>
      </c>
      <c r="F427" s="43" t="s">
        <v>40</v>
      </c>
      <c r="G427" s="43" t="n">
        <v>426</v>
      </c>
      <c r="H427" s="44" t="s">
        <v>1317</v>
      </c>
      <c r="I427" s="44" t="s">
        <v>46</v>
      </c>
      <c r="J427" s="44" t="s">
        <v>33</v>
      </c>
      <c r="K427" s="46" t="n">
        <f aca="false">IF(E427=TRUE(),1,0)</f>
        <v>0</v>
      </c>
      <c r="L427" s="44"/>
    </row>
    <row r="428" customFormat="false" ht="15" hidden="false" customHeight="true" outlineLevel="0" collapsed="false">
      <c r="A428" s="38" t="n">
        <v>427</v>
      </c>
      <c r="B428" s="39" t="s">
        <v>1318</v>
      </c>
      <c r="C428" s="39" t="s">
        <v>1319</v>
      </c>
      <c r="D428" s="39" t="s">
        <v>33</v>
      </c>
      <c r="E428" s="40" t="b">
        <f aca="false">FALSE()</f>
        <v>0</v>
      </c>
      <c r="F428" s="38" t="s">
        <v>40</v>
      </c>
      <c r="G428" s="38" t="n">
        <v>427</v>
      </c>
      <c r="H428" s="39" t="s">
        <v>1320</v>
      </c>
      <c r="I428" s="39" t="s">
        <v>36</v>
      </c>
      <c r="J428" s="39" t="s">
        <v>33</v>
      </c>
      <c r="K428" s="41" t="n">
        <f aca="false">IF(E428=TRUE(),1,0)</f>
        <v>0</v>
      </c>
      <c r="L428" s="39"/>
    </row>
    <row r="429" customFormat="false" ht="15" hidden="false" customHeight="true" outlineLevel="0" collapsed="false">
      <c r="A429" s="43" t="n">
        <v>428</v>
      </c>
      <c r="B429" s="44" t="s">
        <v>1321</v>
      </c>
      <c r="C429" s="44" t="s">
        <v>1322</v>
      </c>
      <c r="D429" s="44" t="s">
        <v>33</v>
      </c>
      <c r="E429" s="45" t="b">
        <f aca="false">TRUE()</f>
        <v>1</v>
      </c>
      <c r="F429" s="43" t="s">
        <v>40</v>
      </c>
      <c r="G429" s="43" t="n">
        <v>428</v>
      </c>
      <c r="H429" s="44" t="s">
        <v>1323</v>
      </c>
      <c r="I429" s="44" t="s">
        <v>46</v>
      </c>
      <c r="J429" s="44" t="s">
        <v>37</v>
      </c>
      <c r="K429" s="46" t="n">
        <f aca="false">IF(E429=TRUE(),1,0)</f>
        <v>1</v>
      </c>
      <c r="L429" s="47" t="n">
        <v>46218.4802662037</v>
      </c>
    </row>
    <row r="430" customFormat="false" ht="15" hidden="false" customHeight="true" outlineLevel="0" collapsed="false">
      <c r="A430" s="38" t="n">
        <v>429</v>
      </c>
      <c r="B430" s="39" t="s">
        <v>1324</v>
      </c>
      <c r="C430" s="39" t="s">
        <v>1325</v>
      </c>
      <c r="D430" s="39" t="s">
        <v>47</v>
      </c>
      <c r="E430" s="40" t="b">
        <f aca="false">TRUE()</f>
        <v>1</v>
      </c>
      <c r="F430" s="38" t="s">
        <v>40</v>
      </c>
      <c r="G430" s="38" t="n">
        <v>429</v>
      </c>
      <c r="H430" s="39" t="s">
        <v>1326</v>
      </c>
      <c r="I430" s="39" t="s">
        <v>46</v>
      </c>
      <c r="J430" s="39" t="s">
        <v>47</v>
      </c>
      <c r="K430" s="41" t="n">
        <f aca="false">IF(E430=TRUE(),1,0)</f>
        <v>1</v>
      </c>
      <c r="L430" s="42" t="n">
        <v>46218.4809375</v>
      </c>
    </row>
    <row r="431" customFormat="false" ht="15" hidden="false" customHeight="true" outlineLevel="0" collapsed="false">
      <c r="A431" s="43" t="n">
        <v>430</v>
      </c>
      <c r="B431" s="44" t="s">
        <v>1327</v>
      </c>
      <c r="C431" s="44" t="s">
        <v>1328</v>
      </c>
      <c r="D431" s="44" t="s">
        <v>37</v>
      </c>
      <c r="E431" s="45" t="b">
        <f aca="false">FALSE()</f>
        <v>0</v>
      </c>
      <c r="F431" s="43" t="s">
        <v>34</v>
      </c>
      <c r="G431" s="43" t="n">
        <v>430</v>
      </c>
      <c r="H431" s="44" t="s">
        <v>1329</v>
      </c>
      <c r="I431" s="44" t="s">
        <v>46</v>
      </c>
      <c r="J431" s="44" t="s">
        <v>37</v>
      </c>
      <c r="K431" s="46" t="n">
        <f aca="false">IF(E431=TRUE(),1,0)</f>
        <v>0</v>
      </c>
      <c r="L431" s="44"/>
    </row>
    <row r="432" customFormat="false" ht="15" hidden="false" customHeight="true" outlineLevel="0" collapsed="false">
      <c r="A432" s="38" t="n">
        <v>431</v>
      </c>
      <c r="B432" s="39" t="s">
        <v>1330</v>
      </c>
      <c r="C432" s="39" t="s">
        <v>1331</v>
      </c>
      <c r="D432" s="39" t="s">
        <v>47</v>
      </c>
      <c r="E432" s="40" t="b">
        <f aca="false">FALSE()</f>
        <v>0</v>
      </c>
      <c r="F432" s="38" t="s">
        <v>40</v>
      </c>
      <c r="G432" s="38" t="n">
        <v>431</v>
      </c>
      <c r="H432" s="39" t="s">
        <v>1332</v>
      </c>
      <c r="I432" s="39" t="s">
        <v>46</v>
      </c>
      <c r="J432" s="39" t="s">
        <v>37</v>
      </c>
      <c r="K432" s="41" t="n">
        <f aca="false">IF(E432=TRUE(),1,0)</f>
        <v>0</v>
      </c>
      <c r="L432" s="39"/>
    </row>
    <row r="433" customFormat="false" ht="15" hidden="false" customHeight="true" outlineLevel="0" collapsed="false">
      <c r="A433" s="43" t="n">
        <v>432</v>
      </c>
      <c r="B433" s="44" t="s">
        <v>1333</v>
      </c>
      <c r="C433" s="44" t="s">
        <v>1334</v>
      </c>
      <c r="D433" s="44" t="s">
        <v>37</v>
      </c>
      <c r="E433" s="45" t="b">
        <f aca="false">TRUE()</f>
        <v>1</v>
      </c>
      <c r="F433" s="43" t="s">
        <v>40</v>
      </c>
      <c r="G433" s="43" t="n">
        <v>432</v>
      </c>
      <c r="H433" s="44" t="s">
        <v>1335</v>
      </c>
      <c r="I433" s="44" t="s">
        <v>46</v>
      </c>
      <c r="J433" s="44" t="s">
        <v>33</v>
      </c>
      <c r="K433" s="46" t="n">
        <f aca="false">IF(E433=TRUE(),1,0)</f>
        <v>1</v>
      </c>
      <c r="L433" s="47" t="n">
        <v>46218.4811458333</v>
      </c>
    </row>
    <row r="434" customFormat="false" ht="15" hidden="false" customHeight="true" outlineLevel="0" collapsed="false">
      <c r="A434" s="38" t="n">
        <v>433</v>
      </c>
      <c r="B434" s="39" t="s">
        <v>1336</v>
      </c>
      <c r="C434" s="39" t="s">
        <v>1337</v>
      </c>
      <c r="D434" s="39" t="s">
        <v>37</v>
      </c>
      <c r="E434" s="40" t="b">
        <f aca="false">FALSE()</f>
        <v>0</v>
      </c>
      <c r="F434" s="38" t="s">
        <v>44</v>
      </c>
      <c r="G434" s="38" t="n">
        <v>433</v>
      </c>
      <c r="H434" s="39" t="s">
        <v>1338</v>
      </c>
      <c r="I434" s="39" t="s">
        <v>46</v>
      </c>
      <c r="J434" s="39" t="s">
        <v>37</v>
      </c>
      <c r="K434" s="41" t="n">
        <f aca="false">IF(E434=TRUE(),1,0)</f>
        <v>0</v>
      </c>
      <c r="L434" s="39"/>
    </row>
    <row r="435" customFormat="false" ht="15" hidden="false" customHeight="true" outlineLevel="0" collapsed="false">
      <c r="A435" s="43" t="n">
        <v>434</v>
      </c>
      <c r="B435" s="44" t="s">
        <v>1339</v>
      </c>
      <c r="C435" s="44" t="s">
        <v>1340</v>
      </c>
      <c r="D435" s="44" t="s">
        <v>47</v>
      </c>
      <c r="E435" s="45" t="b">
        <f aca="false">FALSE()</f>
        <v>0</v>
      </c>
      <c r="F435" s="43" t="s">
        <v>40</v>
      </c>
      <c r="G435" s="43" t="n">
        <v>434</v>
      </c>
      <c r="H435" s="44" t="s">
        <v>1341</v>
      </c>
      <c r="I435" s="44" t="s">
        <v>46</v>
      </c>
      <c r="J435" s="44" t="s">
        <v>47</v>
      </c>
      <c r="K435" s="46" t="n">
        <f aca="false">IF(E435=TRUE(),1,0)</f>
        <v>0</v>
      </c>
      <c r="L435" s="44"/>
    </row>
    <row r="436" customFormat="false" ht="15" hidden="false" customHeight="true" outlineLevel="0" collapsed="false">
      <c r="A436" s="38" t="n">
        <v>435</v>
      </c>
      <c r="B436" s="39" t="s">
        <v>1342</v>
      </c>
      <c r="C436" s="39" t="s">
        <v>1343</v>
      </c>
      <c r="D436" s="39" t="s">
        <v>37</v>
      </c>
      <c r="E436" s="40" t="b">
        <f aca="false">FALSE()</f>
        <v>0</v>
      </c>
      <c r="F436" s="38" t="s">
        <v>40</v>
      </c>
      <c r="G436" s="38" t="n">
        <v>435</v>
      </c>
      <c r="H436" s="39" t="s">
        <v>1344</v>
      </c>
      <c r="I436" s="39" t="s">
        <v>57</v>
      </c>
      <c r="J436" s="39" t="s">
        <v>33</v>
      </c>
      <c r="K436" s="41" t="n">
        <f aca="false">IF(E436=TRUE(),1,0)</f>
        <v>0</v>
      </c>
      <c r="L436" s="39"/>
    </row>
    <row r="437" customFormat="false" ht="15" hidden="false" customHeight="true" outlineLevel="0" collapsed="false">
      <c r="A437" s="43" t="n">
        <v>436</v>
      </c>
      <c r="B437" s="44" t="s">
        <v>1345</v>
      </c>
      <c r="C437" s="44" t="s">
        <v>1346</v>
      </c>
      <c r="D437" s="44" t="s">
        <v>47</v>
      </c>
      <c r="E437" s="45" t="b">
        <f aca="false">FALSE()</f>
        <v>0</v>
      </c>
      <c r="F437" s="43" t="s">
        <v>40</v>
      </c>
      <c r="G437" s="43" t="n">
        <v>436</v>
      </c>
      <c r="H437" s="44" t="s">
        <v>1347</v>
      </c>
      <c r="I437" s="44" t="s">
        <v>36</v>
      </c>
      <c r="J437" s="44" t="s">
        <v>37</v>
      </c>
      <c r="K437" s="46" t="n">
        <f aca="false">IF(E437=TRUE(),1,0)</f>
        <v>0</v>
      </c>
      <c r="L437" s="44"/>
    </row>
    <row r="438" customFormat="false" ht="15" hidden="false" customHeight="true" outlineLevel="0" collapsed="false">
      <c r="A438" s="38" t="n">
        <v>437</v>
      </c>
      <c r="B438" s="39" t="s">
        <v>1348</v>
      </c>
      <c r="C438" s="39" t="s">
        <v>1349</v>
      </c>
      <c r="D438" s="39" t="s">
        <v>33</v>
      </c>
      <c r="E438" s="40" t="b">
        <f aca="false">FALSE()</f>
        <v>0</v>
      </c>
      <c r="F438" s="38" t="s">
        <v>34</v>
      </c>
      <c r="G438" s="38" t="n">
        <v>437</v>
      </c>
      <c r="H438" s="39" t="s">
        <v>1350</v>
      </c>
      <c r="I438" s="39" t="s">
        <v>36</v>
      </c>
      <c r="J438" s="39" t="s">
        <v>33</v>
      </c>
      <c r="K438" s="41" t="n">
        <f aca="false">IF(E438=TRUE(),1,0)</f>
        <v>0</v>
      </c>
      <c r="L438" s="39"/>
    </row>
    <row r="439" customFormat="false" ht="15" hidden="false" customHeight="true" outlineLevel="0" collapsed="false">
      <c r="A439" s="43" t="n">
        <v>438</v>
      </c>
      <c r="B439" s="44" t="s">
        <v>1351</v>
      </c>
      <c r="C439" s="44" t="s">
        <v>1352</v>
      </c>
      <c r="D439" s="44" t="s">
        <v>37</v>
      </c>
      <c r="E439" s="45" t="b">
        <f aca="false">FALSE()</f>
        <v>0</v>
      </c>
      <c r="F439" s="43" t="s">
        <v>34</v>
      </c>
      <c r="G439" s="43" t="n">
        <v>438</v>
      </c>
      <c r="H439" s="44" t="s">
        <v>1353</v>
      </c>
      <c r="I439" s="44" t="s">
        <v>36</v>
      </c>
      <c r="J439" s="44" t="s">
        <v>37</v>
      </c>
      <c r="K439" s="46" t="n">
        <f aca="false">IF(E439=TRUE(),1,0)</f>
        <v>0</v>
      </c>
      <c r="L439" s="44"/>
    </row>
    <row r="440" customFormat="false" ht="15" hidden="false" customHeight="true" outlineLevel="0" collapsed="false">
      <c r="A440" s="38" t="n">
        <v>439</v>
      </c>
      <c r="B440" s="39" t="s">
        <v>1354</v>
      </c>
      <c r="C440" s="39" t="s">
        <v>1355</v>
      </c>
      <c r="D440" s="39" t="s">
        <v>47</v>
      </c>
      <c r="E440" s="40" t="b">
        <f aca="false">TRUE()</f>
        <v>1</v>
      </c>
      <c r="F440" s="38" t="s">
        <v>40</v>
      </c>
      <c r="G440" s="38" t="n">
        <v>439</v>
      </c>
      <c r="H440" s="39" t="s">
        <v>1356</v>
      </c>
      <c r="I440" s="39" t="s">
        <v>36</v>
      </c>
      <c r="J440" s="39" t="s">
        <v>33</v>
      </c>
      <c r="K440" s="41" t="n">
        <f aca="false">IF(E440=TRUE(),1,0)</f>
        <v>1</v>
      </c>
      <c r="L440" s="42" t="n">
        <v>46218.4821412037</v>
      </c>
    </row>
    <row r="441" customFormat="false" ht="15" hidden="false" customHeight="true" outlineLevel="0" collapsed="false">
      <c r="A441" s="43" t="n">
        <v>440</v>
      </c>
      <c r="B441" s="44" t="s">
        <v>1357</v>
      </c>
      <c r="C441" s="44" t="s">
        <v>1358</v>
      </c>
      <c r="D441" s="44" t="s">
        <v>47</v>
      </c>
      <c r="E441" s="45" t="b">
        <f aca="false">TRUE()</f>
        <v>1</v>
      </c>
      <c r="F441" s="43" t="s">
        <v>34</v>
      </c>
      <c r="G441" s="43" t="n">
        <v>440</v>
      </c>
      <c r="H441" s="44" t="s">
        <v>1359</v>
      </c>
      <c r="I441" s="44" t="s">
        <v>57</v>
      </c>
      <c r="J441" s="44" t="s">
        <v>37</v>
      </c>
      <c r="K441" s="46" t="n">
        <f aca="false">IF(E441=TRUE(),1,0)</f>
        <v>1</v>
      </c>
      <c r="L441" s="47" t="n">
        <v>46218.4823611111</v>
      </c>
    </row>
    <row r="442" customFormat="false" ht="15" hidden="false" customHeight="true" outlineLevel="0" collapsed="false">
      <c r="A442" s="38" t="n">
        <v>441</v>
      </c>
      <c r="B442" s="39" t="s">
        <v>1360</v>
      </c>
      <c r="C442" s="39" t="s">
        <v>1361</v>
      </c>
      <c r="D442" s="39" t="s">
        <v>33</v>
      </c>
      <c r="E442" s="40" t="b">
        <f aca="false">TRUE()</f>
        <v>1</v>
      </c>
      <c r="F442" s="38" t="s">
        <v>40</v>
      </c>
      <c r="G442" s="38" t="n">
        <v>441</v>
      </c>
      <c r="H442" s="39" t="s">
        <v>1362</v>
      </c>
      <c r="I442" s="39" t="s">
        <v>57</v>
      </c>
      <c r="J442" s="39" t="s">
        <v>37</v>
      </c>
      <c r="K442" s="41" t="n">
        <f aca="false">IF(E442=TRUE(),1,0)</f>
        <v>1</v>
      </c>
      <c r="L442" s="42" t="n">
        <v>46218.4848726852</v>
      </c>
    </row>
    <row r="443" customFormat="false" ht="15" hidden="false" customHeight="true" outlineLevel="0" collapsed="false">
      <c r="A443" s="43" t="n">
        <v>442</v>
      </c>
      <c r="B443" s="44" t="s">
        <v>1363</v>
      </c>
      <c r="C443" s="44" t="s">
        <v>1364</v>
      </c>
      <c r="D443" s="44" t="s">
        <v>37</v>
      </c>
      <c r="E443" s="45" t="b">
        <f aca="false">FALSE()</f>
        <v>0</v>
      </c>
      <c r="F443" s="43" t="s">
        <v>44</v>
      </c>
      <c r="G443" s="43" t="n">
        <v>442</v>
      </c>
      <c r="H443" s="44" t="s">
        <v>1365</v>
      </c>
      <c r="I443" s="44" t="s">
        <v>36</v>
      </c>
      <c r="J443" s="44" t="s">
        <v>37</v>
      </c>
      <c r="K443" s="46" t="n">
        <f aca="false">IF(E443=TRUE(),1,0)</f>
        <v>0</v>
      </c>
      <c r="L443" s="44"/>
    </row>
    <row r="444" customFormat="false" ht="15" hidden="false" customHeight="true" outlineLevel="0" collapsed="false">
      <c r="A444" s="38" t="n">
        <v>443</v>
      </c>
      <c r="B444" s="39" t="s">
        <v>1366</v>
      </c>
      <c r="C444" s="39" t="s">
        <v>1367</v>
      </c>
      <c r="D444" s="39" t="s">
        <v>33</v>
      </c>
      <c r="E444" s="40" t="b">
        <f aca="false">TRUE()</f>
        <v>1</v>
      </c>
      <c r="F444" s="38" t="s">
        <v>34</v>
      </c>
      <c r="G444" s="38" t="n">
        <v>443</v>
      </c>
      <c r="H444" s="39" t="s">
        <v>1368</v>
      </c>
      <c r="I444" s="39" t="s">
        <v>57</v>
      </c>
      <c r="J444" s="39" t="s">
        <v>33</v>
      </c>
      <c r="K444" s="41" t="n">
        <f aca="false">IF(E444=TRUE(),1,0)</f>
        <v>1</v>
      </c>
      <c r="L444" s="42" t="n">
        <v>46218.4894560185</v>
      </c>
    </row>
    <row r="445" customFormat="false" ht="15" hidden="false" customHeight="true" outlineLevel="0" collapsed="false">
      <c r="A445" s="43" t="n">
        <v>444</v>
      </c>
      <c r="B445" s="44" t="s">
        <v>1369</v>
      </c>
      <c r="C445" s="44" t="s">
        <v>1370</v>
      </c>
      <c r="D445" s="44" t="s">
        <v>47</v>
      </c>
      <c r="E445" s="45" t="b">
        <f aca="false">FALSE()</f>
        <v>0</v>
      </c>
      <c r="F445" s="43" t="s">
        <v>34</v>
      </c>
      <c r="G445" s="43" t="n">
        <v>444</v>
      </c>
      <c r="H445" s="44" t="s">
        <v>1371</v>
      </c>
      <c r="I445" s="44" t="s">
        <v>57</v>
      </c>
      <c r="J445" s="44" t="s">
        <v>37</v>
      </c>
      <c r="K445" s="46" t="n">
        <f aca="false">IF(E445=TRUE(),1,0)</f>
        <v>0</v>
      </c>
      <c r="L445" s="44"/>
    </row>
    <row r="446" customFormat="false" ht="15" hidden="false" customHeight="true" outlineLevel="0" collapsed="false">
      <c r="A446" s="38" t="n">
        <v>445</v>
      </c>
      <c r="B446" s="39" t="s">
        <v>1372</v>
      </c>
      <c r="C446" s="39" t="s">
        <v>1373</v>
      </c>
      <c r="D446" s="39" t="s">
        <v>47</v>
      </c>
      <c r="E446" s="40" t="b">
        <f aca="false">FALSE()</f>
        <v>0</v>
      </c>
      <c r="F446" s="38" t="s">
        <v>44</v>
      </c>
      <c r="G446" s="38" t="n">
        <v>445</v>
      </c>
      <c r="H446" s="39" t="s">
        <v>1374</v>
      </c>
      <c r="I446" s="39" t="s">
        <v>36</v>
      </c>
      <c r="J446" s="39" t="s">
        <v>33</v>
      </c>
      <c r="K446" s="41" t="n">
        <f aca="false">IF(E446=TRUE(),1,0)</f>
        <v>0</v>
      </c>
      <c r="L446" s="39"/>
    </row>
    <row r="447" customFormat="false" ht="15" hidden="false" customHeight="true" outlineLevel="0" collapsed="false">
      <c r="A447" s="43" t="n">
        <v>446</v>
      </c>
      <c r="B447" s="44" t="s">
        <v>1375</v>
      </c>
      <c r="C447" s="44" t="s">
        <v>1376</v>
      </c>
      <c r="D447" s="44" t="s">
        <v>33</v>
      </c>
      <c r="E447" s="45" t="b">
        <f aca="false">TRUE()</f>
        <v>1</v>
      </c>
      <c r="F447" s="43" t="s">
        <v>40</v>
      </c>
      <c r="G447" s="43" t="n">
        <v>446</v>
      </c>
      <c r="H447" s="44" t="s">
        <v>1377</v>
      </c>
      <c r="I447" s="44" t="s">
        <v>57</v>
      </c>
      <c r="J447" s="44" t="s">
        <v>33</v>
      </c>
      <c r="K447" s="46" t="n">
        <f aca="false">IF(E447=TRUE(),1,0)</f>
        <v>1</v>
      </c>
      <c r="L447" s="47" t="n">
        <v>46218.4897916667</v>
      </c>
    </row>
    <row r="448" customFormat="false" ht="15" hidden="false" customHeight="true" outlineLevel="0" collapsed="false">
      <c r="A448" s="38" t="n">
        <v>447</v>
      </c>
      <c r="B448" s="39" t="s">
        <v>1378</v>
      </c>
      <c r="C448" s="39" t="s">
        <v>1379</v>
      </c>
      <c r="D448" s="39" t="s">
        <v>33</v>
      </c>
      <c r="E448" s="40" t="b">
        <f aca="false">FALSE()</f>
        <v>0</v>
      </c>
      <c r="F448" s="38" t="s">
        <v>44</v>
      </c>
      <c r="G448" s="38" t="n">
        <v>447</v>
      </c>
      <c r="H448" s="39" t="s">
        <v>1380</v>
      </c>
      <c r="I448" s="39" t="s">
        <v>36</v>
      </c>
      <c r="J448" s="39" t="s">
        <v>33</v>
      </c>
      <c r="K448" s="41" t="n">
        <f aca="false">IF(E448=TRUE(),1,0)</f>
        <v>0</v>
      </c>
      <c r="L448" s="39"/>
    </row>
    <row r="449" customFormat="false" ht="15" hidden="false" customHeight="true" outlineLevel="0" collapsed="false">
      <c r="A449" s="43" t="n">
        <v>448</v>
      </c>
      <c r="B449" s="44" t="s">
        <v>1381</v>
      </c>
      <c r="C449" s="44" t="s">
        <v>1382</v>
      </c>
      <c r="D449" s="44" t="s">
        <v>33</v>
      </c>
      <c r="E449" s="45" t="b">
        <f aca="false">FALSE()</f>
        <v>0</v>
      </c>
      <c r="F449" s="43" t="s">
        <v>44</v>
      </c>
      <c r="G449" s="43" t="n">
        <v>448</v>
      </c>
      <c r="H449" s="44" t="s">
        <v>1383</v>
      </c>
      <c r="I449" s="44" t="s">
        <v>57</v>
      </c>
      <c r="J449" s="44" t="s">
        <v>33</v>
      </c>
      <c r="K449" s="46" t="n">
        <f aca="false">IF(E449=TRUE(),1,0)</f>
        <v>0</v>
      </c>
      <c r="L449" s="44"/>
    </row>
    <row r="450" customFormat="false" ht="15" hidden="false" customHeight="true" outlineLevel="0" collapsed="false">
      <c r="A450" s="38" t="n">
        <v>449</v>
      </c>
      <c r="B450" s="39" t="s">
        <v>1384</v>
      </c>
      <c r="C450" s="39" t="s">
        <v>1385</v>
      </c>
      <c r="D450" s="39" t="s">
        <v>33</v>
      </c>
      <c r="E450" s="40" t="b">
        <f aca="false">TRUE()</f>
        <v>1</v>
      </c>
      <c r="F450" s="38" t="s">
        <v>40</v>
      </c>
      <c r="G450" s="38" t="n">
        <v>449</v>
      </c>
      <c r="H450" s="39" t="s">
        <v>1386</v>
      </c>
      <c r="I450" s="39" t="s">
        <v>36</v>
      </c>
      <c r="J450" s="39" t="s">
        <v>33</v>
      </c>
      <c r="K450" s="41" t="n">
        <f aca="false">IF(E450=TRUE(),1,0)</f>
        <v>1</v>
      </c>
      <c r="L450" s="42" t="n">
        <v>46218.4903587963</v>
      </c>
    </row>
    <row r="451" customFormat="false" ht="15" hidden="false" customHeight="true" outlineLevel="0" collapsed="false">
      <c r="A451" s="43" t="n">
        <v>450</v>
      </c>
      <c r="B451" s="44" t="s">
        <v>1387</v>
      </c>
      <c r="C451" s="44" t="s">
        <v>1388</v>
      </c>
      <c r="D451" s="44" t="s">
        <v>37</v>
      </c>
      <c r="E451" s="45" t="b">
        <f aca="false">FALSE()</f>
        <v>0</v>
      </c>
      <c r="F451" s="43" t="s">
        <v>44</v>
      </c>
      <c r="G451" s="43" t="n">
        <v>450</v>
      </c>
      <c r="H451" s="44" t="s">
        <v>1389</v>
      </c>
      <c r="I451" s="44" t="s">
        <v>57</v>
      </c>
      <c r="J451" s="44" t="s">
        <v>37</v>
      </c>
      <c r="K451" s="46" t="n">
        <f aca="false">IF(E451=TRUE(),1,0)</f>
        <v>0</v>
      </c>
      <c r="L451" s="44"/>
    </row>
    <row r="452" customFormat="false" ht="15" hidden="false" customHeight="true" outlineLevel="0" collapsed="false">
      <c r="A452" s="38" t="n">
        <v>451</v>
      </c>
      <c r="B452" s="39" t="s">
        <v>1390</v>
      </c>
      <c r="C452" s="39" t="s">
        <v>1391</v>
      </c>
      <c r="D452" s="39" t="s">
        <v>33</v>
      </c>
      <c r="E452" s="40" t="b">
        <f aca="false">TRUE()</f>
        <v>1</v>
      </c>
      <c r="F452" s="38" t="s">
        <v>44</v>
      </c>
      <c r="G452" s="38" t="n">
        <v>451</v>
      </c>
      <c r="H452" s="39" t="s">
        <v>1392</v>
      </c>
      <c r="I452" s="39" t="s">
        <v>36</v>
      </c>
      <c r="J452" s="39" t="s">
        <v>33</v>
      </c>
      <c r="K452" s="41" t="n">
        <f aca="false">IF(E452=TRUE(),1,0)</f>
        <v>1</v>
      </c>
      <c r="L452" s="42" t="n">
        <v>46218.4909606482</v>
      </c>
    </row>
    <row r="453" customFormat="false" ht="15" hidden="false" customHeight="true" outlineLevel="0" collapsed="false">
      <c r="A453" s="43" t="n">
        <v>452</v>
      </c>
      <c r="B453" s="44" t="s">
        <v>1393</v>
      </c>
      <c r="C453" s="44" t="s">
        <v>1394</v>
      </c>
      <c r="D453" s="44" t="s">
        <v>33</v>
      </c>
      <c r="E453" s="45" t="b">
        <f aca="false">TRUE()</f>
        <v>1</v>
      </c>
      <c r="F453" s="43" t="s">
        <v>44</v>
      </c>
      <c r="G453" s="43" t="n">
        <v>452</v>
      </c>
      <c r="H453" s="44" t="s">
        <v>1395</v>
      </c>
      <c r="I453" s="44" t="s">
        <v>36</v>
      </c>
      <c r="J453" s="44" t="s">
        <v>37</v>
      </c>
      <c r="K453" s="46" t="n">
        <f aca="false">IF(E453=TRUE(),1,0)</f>
        <v>1</v>
      </c>
      <c r="L453" s="47" t="n">
        <v>46218.4914467593</v>
      </c>
    </row>
    <row r="454" customFormat="false" ht="15" hidden="false" customHeight="true" outlineLevel="0" collapsed="false">
      <c r="A454" s="38" t="n">
        <v>453</v>
      </c>
      <c r="B454" s="39" t="s">
        <v>1396</v>
      </c>
      <c r="C454" s="39" t="s">
        <v>1397</v>
      </c>
      <c r="D454" s="39" t="s">
        <v>47</v>
      </c>
      <c r="E454" s="40" t="b">
        <f aca="false">FALSE()</f>
        <v>0</v>
      </c>
      <c r="F454" s="38" t="s">
        <v>34</v>
      </c>
      <c r="G454" s="38" t="n">
        <v>453</v>
      </c>
      <c r="H454" s="39" t="s">
        <v>1398</v>
      </c>
      <c r="I454" s="39" t="s">
        <v>57</v>
      </c>
      <c r="J454" s="39" t="s">
        <v>47</v>
      </c>
      <c r="K454" s="41" t="n">
        <f aca="false">IF(E454=TRUE(),1,0)</f>
        <v>0</v>
      </c>
      <c r="L454" s="39"/>
    </row>
    <row r="455" customFormat="false" ht="15" hidden="false" customHeight="true" outlineLevel="0" collapsed="false">
      <c r="A455" s="43" t="n">
        <v>454</v>
      </c>
      <c r="B455" s="44" t="s">
        <v>1399</v>
      </c>
      <c r="C455" s="44" t="s">
        <v>1400</v>
      </c>
      <c r="D455" s="44" t="s">
        <v>33</v>
      </c>
      <c r="E455" s="45" t="b">
        <f aca="false">TRUE()</f>
        <v>1</v>
      </c>
      <c r="F455" s="43" t="s">
        <v>44</v>
      </c>
      <c r="G455" s="43" t="n">
        <v>454</v>
      </c>
      <c r="H455" s="44" t="s">
        <v>1401</v>
      </c>
      <c r="I455" s="44" t="s">
        <v>46</v>
      </c>
      <c r="J455" s="44" t="s">
        <v>47</v>
      </c>
      <c r="K455" s="46" t="n">
        <f aca="false">IF(E455=TRUE(),1,0)</f>
        <v>1</v>
      </c>
      <c r="L455" s="47" t="n">
        <v>46218.4918981482</v>
      </c>
    </row>
    <row r="456" customFormat="false" ht="15" hidden="false" customHeight="true" outlineLevel="0" collapsed="false">
      <c r="A456" s="38" t="n">
        <v>455</v>
      </c>
      <c r="B456" s="39" t="s">
        <v>1402</v>
      </c>
      <c r="C456" s="39" t="s">
        <v>1403</v>
      </c>
      <c r="D456" s="39" t="s">
        <v>47</v>
      </c>
      <c r="E456" s="40" t="b">
        <f aca="false">TRUE()</f>
        <v>1</v>
      </c>
      <c r="F456" s="38" t="s">
        <v>44</v>
      </c>
      <c r="G456" s="38" t="n">
        <v>455</v>
      </c>
      <c r="H456" s="39" t="s">
        <v>1404</v>
      </c>
      <c r="I456" s="39" t="s">
        <v>36</v>
      </c>
      <c r="J456" s="39" t="s">
        <v>37</v>
      </c>
      <c r="K456" s="41" t="n">
        <f aca="false">IF(E456=TRUE(),1,0)</f>
        <v>1</v>
      </c>
      <c r="L456" s="42" t="n">
        <v>46218.4922685185</v>
      </c>
    </row>
    <row r="457" customFormat="false" ht="15" hidden="false" customHeight="true" outlineLevel="0" collapsed="false">
      <c r="A457" s="43" t="n">
        <v>456</v>
      </c>
      <c r="B457" s="44" t="s">
        <v>1405</v>
      </c>
      <c r="C457" s="44" t="s">
        <v>1406</v>
      </c>
      <c r="D457" s="44" t="s">
        <v>37</v>
      </c>
      <c r="E457" s="45" t="b">
        <f aca="false">FALSE()</f>
        <v>0</v>
      </c>
      <c r="F457" s="43" t="s">
        <v>44</v>
      </c>
      <c r="G457" s="43" t="n">
        <v>456</v>
      </c>
      <c r="H457" s="44" t="s">
        <v>1407</v>
      </c>
      <c r="I457" s="44" t="s">
        <v>46</v>
      </c>
      <c r="J457" s="44" t="s">
        <v>33</v>
      </c>
      <c r="K457" s="46" t="n">
        <f aca="false">IF(E457=TRUE(),1,0)</f>
        <v>0</v>
      </c>
      <c r="L457" s="44"/>
    </row>
    <row r="458" customFormat="false" ht="15" hidden="false" customHeight="true" outlineLevel="0" collapsed="false">
      <c r="A458" s="38" t="n">
        <v>457</v>
      </c>
      <c r="B458" s="39" t="s">
        <v>1408</v>
      </c>
      <c r="C458" s="39" t="s">
        <v>1409</v>
      </c>
      <c r="D458" s="39" t="s">
        <v>37</v>
      </c>
      <c r="E458" s="40" t="b">
        <f aca="false">TRUE()</f>
        <v>1</v>
      </c>
      <c r="F458" s="38" t="s">
        <v>34</v>
      </c>
      <c r="G458" s="38" t="n">
        <v>457</v>
      </c>
      <c r="H458" s="39" t="s">
        <v>1410</v>
      </c>
      <c r="I458" s="39" t="s">
        <v>46</v>
      </c>
      <c r="J458" s="39" t="s">
        <v>47</v>
      </c>
      <c r="K458" s="41" t="n">
        <f aca="false">IF(E458=TRUE(),1,0)</f>
        <v>1</v>
      </c>
      <c r="L458" s="42" t="n">
        <v>46218.4923032407</v>
      </c>
    </row>
    <row r="459" customFormat="false" ht="15" hidden="false" customHeight="true" outlineLevel="0" collapsed="false">
      <c r="A459" s="43" t="n">
        <v>458</v>
      </c>
      <c r="B459" s="44" t="s">
        <v>1411</v>
      </c>
      <c r="C459" s="44" t="s">
        <v>1412</v>
      </c>
      <c r="D459" s="44" t="s">
        <v>37</v>
      </c>
      <c r="E459" s="45" t="b">
        <f aca="false">TRUE()</f>
        <v>1</v>
      </c>
      <c r="F459" s="43" t="s">
        <v>34</v>
      </c>
      <c r="G459" s="43" t="n">
        <v>458</v>
      </c>
      <c r="H459" s="44" t="s">
        <v>1413</v>
      </c>
      <c r="I459" s="44" t="s">
        <v>46</v>
      </c>
      <c r="J459" s="44" t="s">
        <v>33</v>
      </c>
      <c r="K459" s="46" t="n">
        <f aca="false">IF(E459=TRUE(),1,0)</f>
        <v>1</v>
      </c>
      <c r="L459" s="47" t="n">
        <v>46218.4925810185</v>
      </c>
    </row>
    <row r="460" customFormat="false" ht="15" hidden="false" customHeight="true" outlineLevel="0" collapsed="false">
      <c r="A460" s="38" t="n">
        <v>459</v>
      </c>
      <c r="B460" s="39" t="s">
        <v>1414</v>
      </c>
      <c r="C460" s="39" t="s">
        <v>1415</v>
      </c>
      <c r="D460" s="39" t="s">
        <v>47</v>
      </c>
      <c r="E460" s="40" t="b">
        <f aca="false">FALSE()</f>
        <v>0</v>
      </c>
      <c r="F460" s="38" t="s">
        <v>34</v>
      </c>
      <c r="G460" s="38" t="n">
        <v>459</v>
      </c>
      <c r="H460" s="39" t="s">
        <v>1416</v>
      </c>
      <c r="I460" s="39" t="s">
        <v>36</v>
      </c>
      <c r="J460" s="39" t="s">
        <v>33</v>
      </c>
      <c r="K460" s="41" t="n">
        <f aca="false">IF(E460=TRUE(),1,0)</f>
        <v>0</v>
      </c>
      <c r="L460" s="39"/>
    </row>
    <row r="461" customFormat="false" ht="15" hidden="false" customHeight="true" outlineLevel="0" collapsed="false">
      <c r="A461" s="43" t="n">
        <v>460</v>
      </c>
      <c r="B461" s="44" t="s">
        <v>1417</v>
      </c>
      <c r="C461" s="44" t="s">
        <v>1418</v>
      </c>
      <c r="D461" s="44" t="s">
        <v>47</v>
      </c>
      <c r="E461" s="45" t="b">
        <f aca="false">TRUE()</f>
        <v>1</v>
      </c>
      <c r="F461" s="43" t="s">
        <v>34</v>
      </c>
      <c r="G461" s="43" t="n">
        <v>460</v>
      </c>
      <c r="H461" s="44" t="s">
        <v>1419</v>
      </c>
      <c r="I461" s="44" t="s">
        <v>46</v>
      </c>
      <c r="J461" s="44" t="s">
        <v>33</v>
      </c>
      <c r="K461" s="46" t="n">
        <f aca="false">IF(E461=TRUE(),1,0)</f>
        <v>1</v>
      </c>
      <c r="L461" s="47" t="n">
        <v>46218.4927083333</v>
      </c>
    </row>
    <row r="462" customFormat="false" ht="15" hidden="false" customHeight="true" outlineLevel="0" collapsed="false">
      <c r="A462" s="38" t="n">
        <v>461</v>
      </c>
      <c r="B462" s="39" t="s">
        <v>1420</v>
      </c>
      <c r="C462" s="39" t="s">
        <v>1421</v>
      </c>
      <c r="D462" s="39" t="s">
        <v>47</v>
      </c>
      <c r="E462" s="40" t="b">
        <f aca="false">TRUE()</f>
        <v>1</v>
      </c>
      <c r="F462" s="38" t="s">
        <v>34</v>
      </c>
      <c r="G462" s="38" t="n">
        <v>461</v>
      </c>
      <c r="H462" s="39" t="s">
        <v>1422</v>
      </c>
      <c r="I462" s="39" t="s">
        <v>46</v>
      </c>
      <c r="J462" s="39" t="s">
        <v>47</v>
      </c>
      <c r="K462" s="41" t="n">
        <f aca="false">IF(E462=TRUE(),1,0)</f>
        <v>1</v>
      </c>
      <c r="L462" s="42" t="n">
        <v>46218.4928240741</v>
      </c>
    </row>
    <row r="463" customFormat="false" ht="15" hidden="false" customHeight="true" outlineLevel="0" collapsed="false">
      <c r="A463" s="43" t="n">
        <v>462</v>
      </c>
      <c r="B463" s="44" t="s">
        <v>1423</v>
      </c>
      <c r="C463" s="44" t="s">
        <v>1424</v>
      </c>
      <c r="D463" s="44" t="s">
        <v>47</v>
      </c>
      <c r="E463" s="45" t="b">
        <f aca="false">FALSE()</f>
        <v>0</v>
      </c>
      <c r="F463" s="43" t="s">
        <v>40</v>
      </c>
      <c r="G463" s="43" t="n">
        <v>462</v>
      </c>
      <c r="H463" s="44" t="s">
        <v>1425</v>
      </c>
      <c r="I463" s="44" t="s">
        <v>36</v>
      </c>
      <c r="J463" s="44" t="s">
        <v>47</v>
      </c>
      <c r="K463" s="46" t="n">
        <f aca="false">IF(E463=TRUE(),1,0)</f>
        <v>0</v>
      </c>
      <c r="L463" s="44"/>
    </row>
    <row r="464" customFormat="false" ht="15" hidden="false" customHeight="true" outlineLevel="0" collapsed="false">
      <c r="A464" s="38" t="n">
        <v>463</v>
      </c>
      <c r="B464" s="39" t="s">
        <v>1426</v>
      </c>
      <c r="C464" s="39" t="s">
        <v>1427</v>
      </c>
      <c r="D464" s="39" t="s">
        <v>33</v>
      </c>
      <c r="E464" s="40" t="b">
        <f aca="false">FALSE()</f>
        <v>0</v>
      </c>
      <c r="F464" s="38" t="s">
        <v>40</v>
      </c>
      <c r="G464" s="38" t="n">
        <v>463</v>
      </c>
      <c r="H464" s="39" t="s">
        <v>1428</v>
      </c>
      <c r="I464" s="39" t="s">
        <v>36</v>
      </c>
      <c r="J464" s="39" t="s">
        <v>37</v>
      </c>
      <c r="K464" s="41" t="n">
        <f aca="false">IF(E464=TRUE(),1,0)</f>
        <v>0</v>
      </c>
      <c r="L464" s="39"/>
    </row>
    <row r="465" customFormat="false" ht="15" hidden="false" customHeight="true" outlineLevel="0" collapsed="false">
      <c r="A465" s="43" t="n">
        <v>464</v>
      </c>
      <c r="B465" s="44" t="s">
        <v>1429</v>
      </c>
      <c r="C465" s="44" t="s">
        <v>1430</v>
      </c>
      <c r="D465" s="44" t="s">
        <v>37</v>
      </c>
      <c r="E465" s="45" t="b">
        <f aca="false">FALSE()</f>
        <v>0</v>
      </c>
      <c r="F465" s="43" t="s">
        <v>44</v>
      </c>
      <c r="G465" s="43" t="n">
        <v>464</v>
      </c>
      <c r="H465" s="44" t="s">
        <v>1431</v>
      </c>
      <c r="I465" s="44" t="s">
        <v>57</v>
      </c>
      <c r="J465" s="44" t="s">
        <v>47</v>
      </c>
      <c r="K465" s="46" t="n">
        <f aca="false">IF(E465=TRUE(),1,0)</f>
        <v>0</v>
      </c>
      <c r="L465" s="44"/>
    </row>
    <row r="466" customFormat="false" ht="15" hidden="false" customHeight="true" outlineLevel="0" collapsed="false">
      <c r="A466" s="38" t="n">
        <v>465</v>
      </c>
      <c r="B466" s="39" t="s">
        <v>1432</v>
      </c>
      <c r="C466" s="39" t="s">
        <v>1433</v>
      </c>
      <c r="D466" s="39" t="s">
        <v>37</v>
      </c>
      <c r="E466" s="40" t="b">
        <f aca="false">FALSE()</f>
        <v>0</v>
      </c>
      <c r="F466" s="38" t="s">
        <v>40</v>
      </c>
      <c r="G466" s="38" t="n">
        <v>465</v>
      </c>
      <c r="H466" s="39" t="s">
        <v>1434</v>
      </c>
      <c r="I466" s="39" t="s">
        <v>46</v>
      </c>
      <c r="J466" s="39" t="s">
        <v>33</v>
      </c>
      <c r="K466" s="41" t="n">
        <f aca="false">IF(E466=TRUE(),1,0)</f>
        <v>0</v>
      </c>
      <c r="L466" s="39"/>
    </row>
    <row r="467" customFormat="false" ht="15" hidden="false" customHeight="true" outlineLevel="0" collapsed="false">
      <c r="A467" s="43" t="n">
        <v>466</v>
      </c>
      <c r="B467" s="44" t="s">
        <v>1435</v>
      </c>
      <c r="C467" s="44" t="s">
        <v>1436</v>
      </c>
      <c r="D467" s="44" t="s">
        <v>37</v>
      </c>
      <c r="E467" s="45" t="b">
        <f aca="false">TRUE()</f>
        <v>1</v>
      </c>
      <c r="F467" s="43" t="s">
        <v>40</v>
      </c>
      <c r="G467" s="43" t="n">
        <v>466</v>
      </c>
      <c r="H467" s="44" t="s">
        <v>1437</v>
      </c>
      <c r="I467" s="44" t="s">
        <v>36</v>
      </c>
      <c r="J467" s="44" t="s">
        <v>33</v>
      </c>
      <c r="K467" s="46" t="n">
        <f aca="false">IF(E467=TRUE(),1,0)</f>
        <v>1</v>
      </c>
      <c r="L467" s="47" t="n">
        <v>46218.4928240741</v>
      </c>
    </row>
    <row r="468" customFormat="false" ht="15" hidden="false" customHeight="true" outlineLevel="0" collapsed="false">
      <c r="A468" s="38" t="n">
        <v>467</v>
      </c>
      <c r="B468" s="39" t="s">
        <v>1438</v>
      </c>
      <c r="C468" s="39" t="s">
        <v>1439</v>
      </c>
      <c r="D468" s="39" t="s">
        <v>37</v>
      </c>
      <c r="E468" s="40" t="b">
        <f aca="false">TRUE()</f>
        <v>1</v>
      </c>
      <c r="F468" s="38" t="s">
        <v>44</v>
      </c>
      <c r="G468" s="38" t="n">
        <v>467</v>
      </c>
      <c r="H468" s="39" t="s">
        <v>1440</v>
      </c>
      <c r="I468" s="39" t="s">
        <v>57</v>
      </c>
      <c r="J468" s="39" t="s">
        <v>47</v>
      </c>
      <c r="K468" s="41" t="n">
        <f aca="false">IF(E468=TRUE(),1,0)</f>
        <v>1</v>
      </c>
      <c r="L468" s="42" t="n">
        <v>46218.4930208333</v>
      </c>
    </row>
    <row r="469" customFormat="false" ht="15" hidden="false" customHeight="true" outlineLevel="0" collapsed="false">
      <c r="A469" s="43" t="n">
        <v>468</v>
      </c>
      <c r="B469" s="44" t="s">
        <v>1441</v>
      </c>
      <c r="C469" s="44" t="s">
        <v>1442</v>
      </c>
      <c r="D469" s="44" t="s">
        <v>37</v>
      </c>
      <c r="E469" s="45" t="b">
        <f aca="false">TRUE()</f>
        <v>1</v>
      </c>
      <c r="F469" s="43" t="s">
        <v>40</v>
      </c>
      <c r="G469" s="43" t="n">
        <v>468</v>
      </c>
      <c r="H469" s="44" t="s">
        <v>1443</v>
      </c>
      <c r="I469" s="44" t="s">
        <v>46</v>
      </c>
      <c r="J469" s="44" t="s">
        <v>33</v>
      </c>
      <c r="K469" s="46" t="n">
        <f aca="false">IF(E469=TRUE(),1,0)</f>
        <v>1</v>
      </c>
      <c r="L469" s="47" t="n">
        <v>46218.4931365741</v>
      </c>
    </row>
    <row r="470" customFormat="false" ht="15" hidden="false" customHeight="true" outlineLevel="0" collapsed="false">
      <c r="A470" s="38" t="n">
        <v>469</v>
      </c>
      <c r="B470" s="39" t="s">
        <v>1444</v>
      </c>
      <c r="C470" s="39" t="s">
        <v>1445</v>
      </c>
      <c r="D470" s="39" t="s">
        <v>33</v>
      </c>
      <c r="E470" s="40" t="b">
        <f aca="false">TRUE()</f>
        <v>1</v>
      </c>
      <c r="F470" s="38" t="s">
        <v>40</v>
      </c>
      <c r="G470" s="38" t="n">
        <v>469</v>
      </c>
      <c r="H470" s="39" t="s">
        <v>1446</v>
      </c>
      <c r="I470" s="39" t="s">
        <v>46</v>
      </c>
      <c r="J470" s="39" t="s">
        <v>37</v>
      </c>
      <c r="K470" s="41" t="n">
        <f aca="false">IF(E470=TRUE(),1,0)</f>
        <v>1</v>
      </c>
      <c r="L470" s="42" t="n">
        <v>46218.4940393519</v>
      </c>
    </row>
    <row r="471" customFormat="false" ht="15" hidden="false" customHeight="true" outlineLevel="0" collapsed="false">
      <c r="A471" s="43" t="n">
        <v>470</v>
      </c>
      <c r="B471" s="44" t="s">
        <v>1447</v>
      </c>
      <c r="C471" s="44" t="s">
        <v>1448</v>
      </c>
      <c r="D471" s="44" t="s">
        <v>33</v>
      </c>
      <c r="E471" s="45" t="b">
        <f aca="false">FALSE()</f>
        <v>0</v>
      </c>
      <c r="F471" s="43" t="s">
        <v>44</v>
      </c>
      <c r="G471" s="43" t="n">
        <v>470</v>
      </c>
      <c r="H471" s="44" t="s">
        <v>1449</v>
      </c>
      <c r="I471" s="44" t="s">
        <v>36</v>
      </c>
      <c r="J471" s="44" t="s">
        <v>47</v>
      </c>
      <c r="K471" s="46" t="n">
        <f aca="false">IF(E471=TRUE(),1,0)</f>
        <v>0</v>
      </c>
      <c r="L471" s="44"/>
    </row>
    <row r="472" customFormat="false" ht="15" hidden="false" customHeight="true" outlineLevel="0" collapsed="false">
      <c r="A472" s="38" t="n">
        <v>471</v>
      </c>
      <c r="B472" s="39" t="s">
        <v>1450</v>
      </c>
      <c r="C472" s="39" t="s">
        <v>1451</v>
      </c>
      <c r="D472" s="39" t="s">
        <v>47</v>
      </c>
      <c r="E472" s="40" t="b">
        <f aca="false">FALSE()</f>
        <v>0</v>
      </c>
      <c r="F472" s="38" t="s">
        <v>44</v>
      </c>
      <c r="G472" s="38" t="n">
        <v>471</v>
      </c>
      <c r="H472" s="39" t="s">
        <v>1452</v>
      </c>
      <c r="I472" s="39" t="s">
        <v>46</v>
      </c>
      <c r="J472" s="39" t="s">
        <v>47</v>
      </c>
      <c r="K472" s="41" t="n">
        <f aca="false">IF(E472=TRUE(),1,0)</f>
        <v>0</v>
      </c>
      <c r="L472" s="39"/>
    </row>
    <row r="473" customFormat="false" ht="15" hidden="false" customHeight="true" outlineLevel="0" collapsed="false">
      <c r="A473" s="43" t="n">
        <v>472</v>
      </c>
      <c r="B473" s="44" t="s">
        <v>1453</v>
      </c>
      <c r="C473" s="44" t="s">
        <v>1454</v>
      </c>
      <c r="D473" s="44" t="s">
        <v>33</v>
      </c>
      <c r="E473" s="45" t="b">
        <f aca="false">FALSE()</f>
        <v>0</v>
      </c>
      <c r="F473" s="43" t="s">
        <v>34</v>
      </c>
      <c r="G473" s="43" t="n">
        <v>472</v>
      </c>
      <c r="H473" s="44" t="s">
        <v>1455</v>
      </c>
      <c r="I473" s="44" t="s">
        <v>57</v>
      </c>
      <c r="J473" s="44" t="s">
        <v>33</v>
      </c>
      <c r="K473" s="46" t="n">
        <f aca="false">IF(E473=TRUE(),1,0)</f>
        <v>0</v>
      </c>
      <c r="L473" s="44"/>
    </row>
    <row r="474" customFormat="false" ht="15" hidden="false" customHeight="true" outlineLevel="0" collapsed="false">
      <c r="A474" s="38" t="n">
        <v>473</v>
      </c>
      <c r="B474" s="39" t="s">
        <v>1456</v>
      </c>
      <c r="C474" s="39" t="s">
        <v>1457</v>
      </c>
      <c r="D474" s="39" t="s">
        <v>33</v>
      </c>
      <c r="E474" s="40" t="b">
        <f aca="false">TRUE()</f>
        <v>1</v>
      </c>
      <c r="F474" s="38" t="s">
        <v>44</v>
      </c>
      <c r="G474" s="38" t="n">
        <v>473</v>
      </c>
      <c r="H474" s="39" t="s">
        <v>1458</v>
      </c>
      <c r="I474" s="39" t="s">
        <v>36</v>
      </c>
      <c r="J474" s="39" t="s">
        <v>37</v>
      </c>
      <c r="K474" s="41" t="n">
        <f aca="false">IF(E474=TRUE(),1,0)</f>
        <v>1</v>
      </c>
      <c r="L474" s="42" t="n">
        <v>46218.4940509259</v>
      </c>
    </row>
    <row r="475" customFormat="false" ht="15" hidden="false" customHeight="true" outlineLevel="0" collapsed="false">
      <c r="A475" s="43" t="n">
        <v>474</v>
      </c>
      <c r="B475" s="44" t="s">
        <v>1459</v>
      </c>
      <c r="C475" s="44" t="s">
        <v>1460</v>
      </c>
      <c r="D475" s="44" t="s">
        <v>33</v>
      </c>
      <c r="E475" s="45" t="b">
        <f aca="false">TRUE()</f>
        <v>1</v>
      </c>
      <c r="F475" s="43" t="s">
        <v>34</v>
      </c>
      <c r="G475" s="43" t="n">
        <v>474</v>
      </c>
      <c r="H475" s="44" t="s">
        <v>1461</v>
      </c>
      <c r="I475" s="44" t="s">
        <v>36</v>
      </c>
      <c r="J475" s="44" t="s">
        <v>37</v>
      </c>
      <c r="K475" s="46" t="n">
        <f aca="false">IF(E475=TRUE(),1,0)</f>
        <v>1</v>
      </c>
      <c r="L475" s="47" t="n">
        <v>46218.4941666667</v>
      </c>
    </row>
    <row r="476" customFormat="false" ht="15" hidden="false" customHeight="true" outlineLevel="0" collapsed="false">
      <c r="A476" s="38" t="n">
        <v>475</v>
      </c>
      <c r="B476" s="39" t="s">
        <v>1462</v>
      </c>
      <c r="C476" s="39" t="s">
        <v>1463</v>
      </c>
      <c r="D476" s="39" t="s">
        <v>33</v>
      </c>
      <c r="E476" s="40" t="b">
        <f aca="false">TRUE()</f>
        <v>1</v>
      </c>
      <c r="F476" s="38" t="s">
        <v>34</v>
      </c>
      <c r="G476" s="38" t="n">
        <v>475</v>
      </c>
      <c r="H476" s="39" t="s">
        <v>1464</v>
      </c>
      <c r="I476" s="39" t="s">
        <v>46</v>
      </c>
      <c r="J476" s="39" t="s">
        <v>47</v>
      </c>
      <c r="K476" s="41" t="n">
        <f aca="false">IF(E476=TRUE(),1,0)</f>
        <v>1</v>
      </c>
      <c r="L476" s="42" t="n">
        <v>46218.4947453704</v>
      </c>
    </row>
    <row r="477" customFormat="false" ht="15" hidden="false" customHeight="true" outlineLevel="0" collapsed="false">
      <c r="A477" s="43" t="n">
        <v>476</v>
      </c>
      <c r="B477" s="44" t="s">
        <v>1465</v>
      </c>
      <c r="C477" s="44" t="s">
        <v>1466</v>
      </c>
      <c r="D477" s="44" t="s">
        <v>47</v>
      </c>
      <c r="E477" s="45" t="b">
        <f aca="false">TRUE()</f>
        <v>1</v>
      </c>
      <c r="F477" s="43" t="s">
        <v>34</v>
      </c>
      <c r="G477" s="43" t="n">
        <v>476</v>
      </c>
      <c r="H477" s="44" t="s">
        <v>1467</v>
      </c>
      <c r="I477" s="44" t="s">
        <v>46</v>
      </c>
      <c r="J477" s="44" t="s">
        <v>37</v>
      </c>
      <c r="K477" s="46" t="n">
        <f aca="false">IF(E477=TRUE(),1,0)</f>
        <v>1</v>
      </c>
      <c r="L477" s="47" t="n">
        <v>46218.4964236111</v>
      </c>
    </row>
    <row r="478" customFormat="false" ht="15" hidden="false" customHeight="true" outlineLevel="0" collapsed="false">
      <c r="A478" s="38" t="n">
        <v>477</v>
      </c>
      <c r="B478" s="39" t="s">
        <v>1468</v>
      </c>
      <c r="C478" s="39" t="s">
        <v>1469</v>
      </c>
      <c r="D478" s="39" t="s">
        <v>33</v>
      </c>
      <c r="E478" s="40" t="b">
        <f aca="false">TRUE()</f>
        <v>1</v>
      </c>
      <c r="F478" s="38" t="s">
        <v>34</v>
      </c>
      <c r="G478" s="38" t="n">
        <v>477</v>
      </c>
      <c r="H478" s="39" t="s">
        <v>1470</v>
      </c>
      <c r="I478" s="39" t="s">
        <v>57</v>
      </c>
      <c r="J478" s="39" t="s">
        <v>37</v>
      </c>
      <c r="K478" s="41" t="n">
        <f aca="false">IF(E478=TRUE(),1,0)</f>
        <v>1</v>
      </c>
      <c r="L478" s="42" t="n">
        <v>46218.4982407407</v>
      </c>
    </row>
    <row r="479" customFormat="false" ht="15" hidden="false" customHeight="true" outlineLevel="0" collapsed="false">
      <c r="A479" s="43" t="n">
        <v>478</v>
      </c>
      <c r="B479" s="44" t="s">
        <v>1471</v>
      </c>
      <c r="C479" s="44" t="s">
        <v>1472</v>
      </c>
      <c r="D479" s="44" t="s">
        <v>47</v>
      </c>
      <c r="E479" s="45" t="b">
        <f aca="false">TRUE()</f>
        <v>1</v>
      </c>
      <c r="F479" s="43" t="s">
        <v>40</v>
      </c>
      <c r="G479" s="43" t="n">
        <v>478</v>
      </c>
      <c r="H479" s="44" t="s">
        <v>1473</v>
      </c>
      <c r="I479" s="44" t="s">
        <v>36</v>
      </c>
      <c r="J479" s="44" t="s">
        <v>37</v>
      </c>
      <c r="K479" s="46" t="n">
        <f aca="false">IF(E479=TRUE(),1,0)</f>
        <v>1</v>
      </c>
      <c r="L479" s="47" t="n">
        <v>46218.5002777778</v>
      </c>
    </row>
    <row r="480" customFormat="false" ht="15" hidden="false" customHeight="true" outlineLevel="0" collapsed="false">
      <c r="A480" s="38" t="n">
        <v>479</v>
      </c>
      <c r="B480" s="39" t="s">
        <v>1474</v>
      </c>
      <c r="C480" s="39" t="s">
        <v>1475</v>
      </c>
      <c r="D480" s="39" t="s">
        <v>37</v>
      </c>
      <c r="E480" s="40" t="b">
        <f aca="false">TRUE()</f>
        <v>1</v>
      </c>
      <c r="F480" s="38" t="s">
        <v>44</v>
      </c>
      <c r="G480" s="38" t="n">
        <v>479</v>
      </c>
      <c r="H480" s="39" t="s">
        <v>1476</v>
      </c>
      <c r="I480" s="39" t="s">
        <v>46</v>
      </c>
      <c r="J480" s="39" t="s">
        <v>33</v>
      </c>
      <c r="K480" s="41" t="n">
        <f aca="false">IF(E480=TRUE(),1,0)</f>
        <v>1</v>
      </c>
      <c r="L480" s="42" t="n">
        <v>46218.5015277778</v>
      </c>
    </row>
    <row r="481" customFormat="false" ht="15" hidden="false" customHeight="true" outlineLevel="0" collapsed="false">
      <c r="A481" s="43" t="n">
        <v>480</v>
      </c>
      <c r="B481" s="44" t="s">
        <v>1477</v>
      </c>
      <c r="C481" s="44" t="s">
        <v>1478</v>
      </c>
      <c r="D481" s="44" t="s">
        <v>37</v>
      </c>
      <c r="E481" s="45" t="b">
        <f aca="false">TRUE()</f>
        <v>1</v>
      </c>
      <c r="F481" s="43" t="s">
        <v>40</v>
      </c>
      <c r="G481" s="43" t="n">
        <v>480</v>
      </c>
      <c r="H481" s="44" t="s">
        <v>1479</v>
      </c>
      <c r="I481" s="44" t="s">
        <v>57</v>
      </c>
      <c r="J481" s="44" t="s">
        <v>33</v>
      </c>
      <c r="K481" s="46" t="n">
        <f aca="false">IF(E481=TRUE(),1,0)</f>
        <v>1</v>
      </c>
      <c r="L481" s="47" t="n">
        <v>46218.5024305556</v>
      </c>
    </row>
    <row r="482" customFormat="false" ht="15" hidden="false" customHeight="true" outlineLevel="0" collapsed="false">
      <c r="A482" s="38" t="n">
        <v>481</v>
      </c>
      <c r="B482" s="39" t="s">
        <v>1480</v>
      </c>
      <c r="C482" s="39" t="s">
        <v>1481</v>
      </c>
      <c r="D482" s="39" t="s">
        <v>37</v>
      </c>
      <c r="E482" s="40" t="b">
        <f aca="false">FALSE()</f>
        <v>0</v>
      </c>
      <c r="F482" s="38" t="s">
        <v>44</v>
      </c>
      <c r="G482" s="38" t="n">
        <v>481</v>
      </c>
      <c r="H482" s="39" t="s">
        <v>1482</v>
      </c>
      <c r="I482" s="39" t="s">
        <v>36</v>
      </c>
      <c r="J482" s="39" t="s">
        <v>37</v>
      </c>
      <c r="K482" s="41" t="n">
        <f aca="false">IF(E482=TRUE(),1,0)</f>
        <v>0</v>
      </c>
      <c r="L482" s="39"/>
    </row>
    <row r="483" customFormat="false" ht="15" hidden="false" customHeight="true" outlineLevel="0" collapsed="false">
      <c r="A483" s="43" t="n">
        <v>482</v>
      </c>
      <c r="B483" s="44" t="s">
        <v>1483</v>
      </c>
      <c r="C483" s="44" t="s">
        <v>1484</v>
      </c>
      <c r="D483" s="44" t="s">
        <v>47</v>
      </c>
      <c r="E483" s="45" t="b">
        <f aca="false">FALSE()</f>
        <v>0</v>
      </c>
      <c r="F483" s="43" t="s">
        <v>40</v>
      </c>
      <c r="G483" s="43" t="n">
        <v>482</v>
      </c>
      <c r="H483" s="44" t="s">
        <v>1485</v>
      </c>
      <c r="I483" s="44" t="s">
        <v>36</v>
      </c>
      <c r="J483" s="44" t="s">
        <v>37</v>
      </c>
      <c r="K483" s="46" t="n">
        <f aca="false">IF(E483=TRUE(),1,0)</f>
        <v>0</v>
      </c>
      <c r="L483" s="44"/>
    </row>
    <row r="484" customFormat="false" ht="15" hidden="false" customHeight="true" outlineLevel="0" collapsed="false">
      <c r="A484" s="38" t="n">
        <v>483</v>
      </c>
      <c r="B484" s="39" t="s">
        <v>1486</v>
      </c>
      <c r="C484" s="39" t="s">
        <v>1487</v>
      </c>
      <c r="D484" s="39" t="s">
        <v>37</v>
      </c>
      <c r="E484" s="40" t="b">
        <f aca="false">FALSE()</f>
        <v>0</v>
      </c>
      <c r="F484" s="38" t="s">
        <v>44</v>
      </c>
      <c r="G484" s="38" t="n">
        <v>483</v>
      </c>
      <c r="H484" s="39" t="s">
        <v>1488</v>
      </c>
      <c r="I484" s="39" t="s">
        <v>57</v>
      </c>
      <c r="J484" s="39" t="s">
        <v>37</v>
      </c>
      <c r="K484" s="41" t="n">
        <f aca="false">IF(E484=TRUE(),1,0)</f>
        <v>0</v>
      </c>
      <c r="L484" s="39"/>
    </row>
    <row r="485" customFormat="false" ht="15" hidden="false" customHeight="true" outlineLevel="0" collapsed="false">
      <c r="A485" s="43" t="n">
        <v>484</v>
      </c>
      <c r="B485" s="44" t="s">
        <v>1489</v>
      </c>
      <c r="C485" s="44" t="s">
        <v>1490</v>
      </c>
      <c r="D485" s="44" t="s">
        <v>47</v>
      </c>
      <c r="E485" s="45" t="b">
        <f aca="false">TRUE()</f>
        <v>1</v>
      </c>
      <c r="F485" s="43" t="s">
        <v>34</v>
      </c>
      <c r="G485" s="43" t="n">
        <v>484</v>
      </c>
      <c r="H485" s="44" t="s">
        <v>1491</v>
      </c>
      <c r="I485" s="44" t="s">
        <v>46</v>
      </c>
      <c r="J485" s="44" t="s">
        <v>37</v>
      </c>
      <c r="K485" s="46" t="n">
        <f aca="false">IF(E485=TRUE(),1,0)</f>
        <v>1</v>
      </c>
      <c r="L485" s="47" t="n">
        <v>46218.5025115741</v>
      </c>
    </row>
    <row r="486" customFormat="false" ht="15" hidden="false" customHeight="true" outlineLevel="0" collapsed="false">
      <c r="A486" s="38" t="n">
        <v>485</v>
      </c>
      <c r="B486" s="39" t="s">
        <v>1492</v>
      </c>
      <c r="C486" s="39" t="s">
        <v>1493</v>
      </c>
      <c r="D486" s="39" t="s">
        <v>37</v>
      </c>
      <c r="E486" s="40" t="b">
        <f aca="false">TRUE()</f>
        <v>1</v>
      </c>
      <c r="F486" s="38" t="s">
        <v>34</v>
      </c>
      <c r="G486" s="38" t="n">
        <v>485</v>
      </c>
      <c r="H486" s="39" t="s">
        <v>1494</v>
      </c>
      <c r="I486" s="39" t="s">
        <v>57</v>
      </c>
      <c r="J486" s="39" t="s">
        <v>37</v>
      </c>
      <c r="K486" s="41" t="n">
        <f aca="false">IF(E486=TRUE(),1,0)</f>
        <v>1</v>
      </c>
      <c r="L486" s="42" t="n">
        <v>46218.5026736111</v>
      </c>
    </row>
    <row r="487" customFormat="false" ht="15" hidden="false" customHeight="true" outlineLevel="0" collapsed="false">
      <c r="A487" s="43" t="n">
        <v>486</v>
      </c>
      <c r="B487" s="44" t="s">
        <v>1495</v>
      </c>
      <c r="C487" s="44" t="s">
        <v>1496</v>
      </c>
      <c r="D487" s="44" t="s">
        <v>47</v>
      </c>
      <c r="E487" s="45" t="b">
        <f aca="false">TRUE()</f>
        <v>1</v>
      </c>
      <c r="F487" s="43" t="s">
        <v>40</v>
      </c>
      <c r="G487" s="43" t="n">
        <v>486</v>
      </c>
      <c r="H487" s="44" t="s">
        <v>1497</v>
      </c>
      <c r="I487" s="44" t="s">
        <v>36</v>
      </c>
      <c r="J487" s="44" t="s">
        <v>47</v>
      </c>
      <c r="K487" s="46" t="n">
        <f aca="false">IF(E487=TRUE(),1,0)</f>
        <v>1</v>
      </c>
      <c r="L487" s="47" t="n">
        <v>46218.5028935185</v>
      </c>
    </row>
    <row r="488" customFormat="false" ht="15" hidden="false" customHeight="true" outlineLevel="0" collapsed="false">
      <c r="A488" s="38" t="n">
        <v>487</v>
      </c>
      <c r="B488" s="39" t="s">
        <v>1498</v>
      </c>
      <c r="C488" s="39" t="s">
        <v>1499</v>
      </c>
      <c r="D488" s="39" t="s">
        <v>37</v>
      </c>
      <c r="E488" s="40" t="b">
        <f aca="false">TRUE()</f>
        <v>1</v>
      </c>
      <c r="F488" s="38" t="s">
        <v>44</v>
      </c>
      <c r="G488" s="38" t="n">
        <v>487</v>
      </c>
      <c r="H488" s="39" t="s">
        <v>1500</v>
      </c>
      <c r="I488" s="39" t="s">
        <v>46</v>
      </c>
      <c r="J488" s="39" t="s">
        <v>33</v>
      </c>
      <c r="K488" s="41" t="n">
        <f aca="false">IF(E488=TRUE(),1,0)</f>
        <v>1</v>
      </c>
      <c r="L488" s="42" t="n">
        <v>46218.5029398148</v>
      </c>
    </row>
    <row r="489" customFormat="false" ht="15" hidden="false" customHeight="true" outlineLevel="0" collapsed="false">
      <c r="A489" s="43" t="n">
        <v>488</v>
      </c>
      <c r="B489" s="44" t="s">
        <v>1501</v>
      </c>
      <c r="C489" s="44" t="s">
        <v>1502</v>
      </c>
      <c r="D489" s="44" t="s">
        <v>33</v>
      </c>
      <c r="E489" s="45" t="b">
        <f aca="false">FALSE()</f>
        <v>0</v>
      </c>
      <c r="F489" s="43" t="s">
        <v>44</v>
      </c>
      <c r="G489" s="43" t="n">
        <v>488</v>
      </c>
      <c r="H489" s="44" t="s">
        <v>1503</v>
      </c>
      <c r="I489" s="44" t="s">
        <v>36</v>
      </c>
      <c r="J489" s="44" t="s">
        <v>47</v>
      </c>
      <c r="K489" s="46" t="n">
        <f aca="false">IF(E489=TRUE(),1,0)</f>
        <v>0</v>
      </c>
      <c r="L489" s="44"/>
    </row>
    <row r="490" customFormat="false" ht="15" hidden="false" customHeight="true" outlineLevel="0" collapsed="false">
      <c r="A490" s="38" t="n">
        <v>489</v>
      </c>
      <c r="B490" s="39" t="s">
        <v>1504</v>
      </c>
      <c r="C490" s="39" t="s">
        <v>1505</v>
      </c>
      <c r="D490" s="39" t="s">
        <v>47</v>
      </c>
      <c r="E490" s="40" t="b">
        <f aca="false">TRUE()</f>
        <v>1</v>
      </c>
      <c r="F490" s="38" t="s">
        <v>34</v>
      </c>
      <c r="G490" s="38" t="n">
        <v>489</v>
      </c>
      <c r="H490" s="39" t="s">
        <v>1506</v>
      </c>
      <c r="I490" s="39" t="s">
        <v>36</v>
      </c>
      <c r="J490" s="39" t="s">
        <v>37</v>
      </c>
      <c r="K490" s="41" t="n">
        <f aca="false">IF(E490=TRUE(),1,0)</f>
        <v>1</v>
      </c>
      <c r="L490" s="42" t="n">
        <v>46218.5029861111</v>
      </c>
    </row>
    <row r="491" customFormat="false" ht="15" hidden="false" customHeight="true" outlineLevel="0" collapsed="false">
      <c r="A491" s="43" t="n">
        <v>490</v>
      </c>
      <c r="B491" s="44" t="s">
        <v>1507</v>
      </c>
      <c r="C491" s="44" t="s">
        <v>1508</v>
      </c>
      <c r="D491" s="44" t="s">
        <v>37</v>
      </c>
      <c r="E491" s="45" t="b">
        <f aca="false">TRUE()</f>
        <v>1</v>
      </c>
      <c r="F491" s="43" t="s">
        <v>44</v>
      </c>
      <c r="G491" s="43" t="n">
        <v>490</v>
      </c>
      <c r="H491" s="44" t="s">
        <v>1509</v>
      </c>
      <c r="I491" s="44" t="s">
        <v>57</v>
      </c>
      <c r="J491" s="44" t="s">
        <v>37</v>
      </c>
      <c r="K491" s="46" t="n">
        <f aca="false">IF(E491=TRUE(),1,0)</f>
        <v>1</v>
      </c>
      <c r="L491" s="47" t="n">
        <v>46218.5033796296</v>
      </c>
    </row>
    <row r="492" customFormat="false" ht="15" hidden="false" customHeight="true" outlineLevel="0" collapsed="false">
      <c r="A492" s="38" t="n">
        <v>491</v>
      </c>
      <c r="B492" s="39" t="s">
        <v>1510</v>
      </c>
      <c r="C492" s="39" t="s">
        <v>1511</v>
      </c>
      <c r="D492" s="39" t="s">
        <v>47</v>
      </c>
      <c r="E492" s="40" t="b">
        <f aca="false">FALSE()</f>
        <v>0</v>
      </c>
      <c r="F492" s="38" t="s">
        <v>44</v>
      </c>
      <c r="G492" s="38" t="n">
        <v>491</v>
      </c>
      <c r="H492" s="39" t="s">
        <v>1512</v>
      </c>
      <c r="I492" s="39" t="s">
        <v>36</v>
      </c>
      <c r="J492" s="39" t="s">
        <v>47</v>
      </c>
      <c r="K492" s="41" t="n">
        <f aca="false">IF(E492=TRUE(),1,0)</f>
        <v>0</v>
      </c>
      <c r="L492" s="39"/>
    </row>
    <row r="493" customFormat="false" ht="15" hidden="false" customHeight="true" outlineLevel="0" collapsed="false">
      <c r="A493" s="43" t="n">
        <v>492</v>
      </c>
      <c r="B493" s="44" t="s">
        <v>1513</v>
      </c>
      <c r="C493" s="44" t="s">
        <v>1514</v>
      </c>
      <c r="D493" s="44" t="s">
        <v>33</v>
      </c>
      <c r="E493" s="45" t="b">
        <f aca="false">TRUE()</f>
        <v>1</v>
      </c>
      <c r="F493" s="43" t="s">
        <v>34</v>
      </c>
      <c r="G493" s="43" t="n">
        <v>492</v>
      </c>
      <c r="H493" s="44" t="s">
        <v>1515</v>
      </c>
      <c r="I493" s="44" t="s">
        <v>46</v>
      </c>
      <c r="J493" s="44" t="s">
        <v>37</v>
      </c>
      <c r="K493" s="46" t="n">
        <f aca="false">IF(E493=TRUE(),1,0)</f>
        <v>1</v>
      </c>
      <c r="L493" s="47" t="n">
        <v>46218.5053819444</v>
      </c>
    </row>
    <row r="494" customFormat="false" ht="15" hidden="false" customHeight="true" outlineLevel="0" collapsed="false">
      <c r="A494" s="38" t="n">
        <v>493</v>
      </c>
      <c r="B494" s="39" t="s">
        <v>1516</v>
      </c>
      <c r="C494" s="39" t="s">
        <v>1517</v>
      </c>
      <c r="D494" s="39" t="s">
        <v>37</v>
      </c>
      <c r="E494" s="40" t="b">
        <f aca="false">TRUE()</f>
        <v>1</v>
      </c>
      <c r="F494" s="38" t="s">
        <v>40</v>
      </c>
      <c r="G494" s="38" t="n">
        <v>493</v>
      </c>
      <c r="H494" s="39" t="s">
        <v>1518</v>
      </c>
      <c r="I494" s="39" t="s">
        <v>57</v>
      </c>
      <c r="J494" s="39" t="s">
        <v>47</v>
      </c>
      <c r="K494" s="41" t="n">
        <f aca="false">IF(E494=TRUE(),1,0)</f>
        <v>1</v>
      </c>
      <c r="L494" s="42" t="n">
        <v>46218.5069212963</v>
      </c>
    </row>
    <row r="495" customFormat="false" ht="15" hidden="false" customHeight="true" outlineLevel="0" collapsed="false">
      <c r="A495" s="43" t="n">
        <v>494</v>
      </c>
      <c r="B495" s="44" t="s">
        <v>1519</v>
      </c>
      <c r="C495" s="44" t="s">
        <v>1520</v>
      </c>
      <c r="D495" s="44" t="s">
        <v>33</v>
      </c>
      <c r="E495" s="45" t="b">
        <f aca="false">FALSE()</f>
        <v>0</v>
      </c>
      <c r="F495" s="43" t="s">
        <v>40</v>
      </c>
      <c r="G495" s="43" t="n">
        <v>494</v>
      </c>
      <c r="H495" s="44" t="s">
        <v>1521</v>
      </c>
      <c r="I495" s="44" t="s">
        <v>46</v>
      </c>
      <c r="J495" s="44" t="s">
        <v>47</v>
      </c>
      <c r="K495" s="46" t="n">
        <f aca="false">IF(E495=TRUE(),1,0)</f>
        <v>0</v>
      </c>
      <c r="L495" s="44"/>
    </row>
    <row r="496" customFormat="false" ht="15" hidden="false" customHeight="true" outlineLevel="0" collapsed="false">
      <c r="A496" s="38" t="n">
        <v>495</v>
      </c>
      <c r="B496" s="39" t="s">
        <v>1522</v>
      </c>
      <c r="C496" s="39" t="s">
        <v>1523</v>
      </c>
      <c r="D496" s="39" t="s">
        <v>37</v>
      </c>
      <c r="E496" s="40" t="b">
        <f aca="false">FALSE()</f>
        <v>0</v>
      </c>
      <c r="F496" s="38" t="s">
        <v>40</v>
      </c>
      <c r="G496" s="38" t="n">
        <v>495</v>
      </c>
      <c r="H496" s="39" t="s">
        <v>1524</v>
      </c>
      <c r="I496" s="39" t="s">
        <v>57</v>
      </c>
      <c r="J496" s="39" t="s">
        <v>37</v>
      </c>
      <c r="K496" s="41" t="n">
        <f aca="false">IF(E496=TRUE(),1,0)</f>
        <v>0</v>
      </c>
      <c r="L496" s="39"/>
    </row>
    <row r="497" customFormat="false" ht="15" hidden="false" customHeight="true" outlineLevel="0" collapsed="false">
      <c r="A497" s="43" t="n">
        <v>496</v>
      </c>
      <c r="B497" s="44" t="s">
        <v>1525</v>
      </c>
      <c r="C497" s="44" t="s">
        <v>1526</v>
      </c>
      <c r="D497" s="44" t="s">
        <v>37</v>
      </c>
      <c r="E497" s="45" t="b">
        <f aca="false">TRUE()</f>
        <v>1</v>
      </c>
      <c r="F497" s="43" t="s">
        <v>34</v>
      </c>
      <c r="G497" s="43" t="n">
        <v>496</v>
      </c>
      <c r="H497" s="44" t="s">
        <v>1527</v>
      </c>
      <c r="I497" s="44" t="s">
        <v>57</v>
      </c>
      <c r="J497" s="44" t="s">
        <v>37</v>
      </c>
      <c r="K497" s="46" t="n">
        <f aca="false">IF(E497=TRUE(),1,0)</f>
        <v>1</v>
      </c>
      <c r="L497" s="47" t="n">
        <v>46218.5078240741</v>
      </c>
    </row>
    <row r="498" customFormat="false" ht="15" hidden="false" customHeight="true" outlineLevel="0" collapsed="false">
      <c r="A498" s="38" t="n">
        <v>497</v>
      </c>
      <c r="B498" s="39" t="s">
        <v>1528</v>
      </c>
      <c r="C498" s="39" t="s">
        <v>1529</v>
      </c>
      <c r="D498" s="39" t="s">
        <v>37</v>
      </c>
      <c r="E498" s="40" t="b">
        <f aca="false">FALSE()</f>
        <v>0</v>
      </c>
      <c r="F498" s="38" t="s">
        <v>34</v>
      </c>
      <c r="G498" s="38" t="n">
        <v>497</v>
      </c>
      <c r="H498" s="39" t="s">
        <v>1530</v>
      </c>
      <c r="I498" s="39" t="s">
        <v>46</v>
      </c>
      <c r="J498" s="39" t="s">
        <v>47</v>
      </c>
      <c r="K498" s="41" t="n">
        <f aca="false">IF(E498=TRUE(),1,0)</f>
        <v>0</v>
      </c>
      <c r="L498" s="39"/>
    </row>
    <row r="499" customFormat="false" ht="15" hidden="false" customHeight="true" outlineLevel="0" collapsed="false">
      <c r="A499" s="43" t="n">
        <v>498</v>
      </c>
      <c r="B499" s="44" t="s">
        <v>1531</v>
      </c>
      <c r="C499" s="44" t="s">
        <v>1532</v>
      </c>
      <c r="D499" s="44" t="s">
        <v>37</v>
      </c>
      <c r="E499" s="45" t="b">
        <f aca="false">FALSE()</f>
        <v>0</v>
      </c>
      <c r="F499" s="43" t="s">
        <v>40</v>
      </c>
      <c r="G499" s="43" t="n">
        <v>498</v>
      </c>
      <c r="H499" s="44" t="s">
        <v>1533</v>
      </c>
      <c r="I499" s="44" t="s">
        <v>46</v>
      </c>
      <c r="J499" s="44" t="s">
        <v>33</v>
      </c>
      <c r="K499" s="46" t="n">
        <f aca="false">IF(E499=TRUE(),1,0)</f>
        <v>0</v>
      </c>
      <c r="L499" s="44"/>
    </row>
    <row r="500" customFormat="false" ht="15" hidden="false" customHeight="true" outlineLevel="0" collapsed="false">
      <c r="A500" s="38" t="n">
        <v>499</v>
      </c>
      <c r="B500" s="39" t="s">
        <v>1534</v>
      </c>
      <c r="C500" s="39" t="s">
        <v>1535</v>
      </c>
      <c r="D500" s="39" t="s">
        <v>33</v>
      </c>
      <c r="E500" s="40" t="b">
        <f aca="false">TRUE()</f>
        <v>1</v>
      </c>
      <c r="F500" s="38" t="s">
        <v>34</v>
      </c>
      <c r="G500" s="38" t="n">
        <v>499</v>
      </c>
      <c r="H500" s="39" t="s">
        <v>1536</v>
      </c>
      <c r="I500" s="39" t="s">
        <v>57</v>
      </c>
      <c r="J500" s="39" t="s">
        <v>47</v>
      </c>
      <c r="K500" s="41" t="n">
        <f aca="false">IF(E500=TRUE(),1,0)</f>
        <v>1</v>
      </c>
      <c r="L500" s="42" t="n">
        <v>46218.5080324074</v>
      </c>
    </row>
    <row r="501" customFormat="false" ht="15" hidden="false" customHeight="true" outlineLevel="0" collapsed="false">
      <c r="A501" s="43" t="n">
        <v>500</v>
      </c>
      <c r="B501" s="44" t="s">
        <v>1537</v>
      </c>
      <c r="C501" s="44" t="s">
        <v>1538</v>
      </c>
      <c r="D501" s="44" t="s">
        <v>37</v>
      </c>
      <c r="E501" s="45" t="b">
        <f aca="false">TRUE()</f>
        <v>1</v>
      </c>
      <c r="F501" s="43" t="s">
        <v>34</v>
      </c>
      <c r="G501" s="43" t="n">
        <v>500</v>
      </c>
      <c r="H501" s="44" t="s">
        <v>1539</v>
      </c>
      <c r="I501" s="44" t="s">
        <v>36</v>
      </c>
      <c r="J501" s="44" t="s">
        <v>47</v>
      </c>
      <c r="K501" s="46" t="n">
        <f aca="false">IF(E501=TRUE(),1,0)</f>
        <v>1</v>
      </c>
      <c r="L501" s="47" t="n">
        <v>46218.5092939815</v>
      </c>
    </row>
    <row r="502" customFormat="false" ht="15" hidden="false" customHeight="true" outlineLevel="0" collapsed="false">
      <c r="A502" s="38" t="n">
        <v>501</v>
      </c>
      <c r="B502" s="39" t="s">
        <v>1540</v>
      </c>
      <c r="C502" s="39" t="s">
        <v>1541</v>
      </c>
      <c r="D502" s="39" t="s">
        <v>37</v>
      </c>
      <c r="E502" s="40" t="b">
        <f aca="false">FALSE()</f>
        <v>0</v>
      </c>
      <c r="F502" s="38" t="s">
        <v>44</v>
      </c>
      <c r="G502" s="38" t="n">
        <v>501</v>
      </c>
      <c r="H502" s="39" t="s">
        <v>1542</v>
      </c>
      <c r="I502" s="39" t="s">
        <v>57</v>
      </c>
      <c r="J502" s="39" t="s">
        <v>33</v>
      </c>
      <c r="K502" s="41" t="n">
        <f aca="false">IF(E502=TRUE(),1,0)</f>
        <v>0</v>
      </c>
      <c r="L502" s="39"/>
    </row>
    <row r="503" customFormat="false" ht="15" hidden="false" customHeight="true" outlineLevel="0" collapsed="false">
      <c r="A503" s="43" t="n">
        <v>502</v>
      </c>
      <c r="B503" s="44" t="s">
        <v>1543</v>
      </c>
      <c r="C503" s="44" t="s">
        <v>1544</v>
      </c>
      <c r="D503" s="44" t="s">
        <v>33</v>
      </c>
      <c r="E503" s="45" t="b">
        <f aca="false">TRUE()</f>
        <v>1</v>
      </c>
      <c r="F503" s="43" t="s">
        <v>34</v>
      </c>
      <c r="G503" s="43" t="n">
        <v>502</v>
      </c>
      <c r="H503" s="44" t="s">
        <v>1545</v>
      </c>
      <c r="I503" s="44" t="s">
        <v>57</v>
      </c>
      <c r="J503" s="44" t="s">
        <v>33</v>
      </c>
      <c r="K503" s="46" t="n">
        <f aca="false">IF(E503=TRUE(),1,0)</f>
        <v>1</v>
      </c>
      <c r="L503" s="47" t="n">
        <v>46218.5111689815</v>
      </c>
    </row>
    <row r="504" customFormat="false" ht="15" hidden="false" customHeight="true" outlineLevel="0" collapsed="false">
      <c r="A504" s="38" t="n">
        <v>503</v>
      </c>
      <c r="B504" s="39" t="s">
        <v>1546</v>
      </c>
      <c r="C504" s="39" t="s">
        <v>1547</v>
      </c>
      <c r="D504" s="39" t="s">
        <v>33</v>
      </c>
      <c r="E504" s="40" t="b">
        <f aca="false">FALSE()</f>
        <v>0</v>
      </c>
      <c r="F504" s="38" t="s">
        <v>34</v>
      </c>
      <c r="G504" s="38" t="n">
        <v>503</v>
      </c>
      <c r="H504" s="39" t="s">
        <v>1548</v>
      </c>
      <c r="I504" s="39" t="s">
        <v>57</v>
      </c>
      <c r="J504" s="39" t="s">
        <v>47</v>
      </c>
      <c r="K504" s="41" t="n">
        <f aca="false">IF(E504=TRUE(),1,0)</f>
        <v>0</v>
      </c>
      <c r="L504" s="39"/>
    </row>
    <row r="505" customFormat="false" ht="15" hidden="false" customHeight="true" outlineLevel="0" collapsed="false">
      <c r="A505" s="43" t="n">
        <v>504</v>
      </c>
      <c r="B505" s="44" t="s">
        <v>1549</v>
      </c>
      <c r="C505" s="44" t="s">
        <v>1550</v>
      </c>
      <c r="D505" s="44" t="s">
        <v>33</v>
      </c>
      <c r="E505" s="45" t="b">
        <f aca="false">TRUE()</f>
        <v>1</v>
      </c>
      <c r="F505" s="43" t="s">
        <v>34</v>
      </c>
      <c r="G505" s="43" t="n">
        <v>504</v>
      </c>
      <c r="H505" s="44" t="s">
        <v>1551</v>
      </c>
      <c r="I505" s="44" t="s">
        <v>46</v>
      </c>
      <c r="J505" s="44" t="s">
        <v>33</v>
      </c>
      <c r="K505" s="46" t="n">
        <f aca="false">IF(E505=TRUE(),1,0)</f>
        <v>1</v>
      </c>
      <c r="L505" s="47" t="n">
        <v>46218.5140393519</v>
      </c>
    </row>
    <row r="506" customFormat="false" ht="15" hidden="false" customHeight="true" outlineLevel="0" collapsed="false">
      <c r="A506" s="38" t="n">
        <v>505</v>
      </c>
      <c r="B506" s="39" t="s">
        <v>1552</v>
      </c>
      <c r="C506" s="39" t="s">
        <v>1553</v>
      </c>
      <c r="D506" s="39" t="s">
        <v>33</v>
      </c>
      <c r="E506" s="40" t="b">
        <f aca="false">TRUE()</f>
        <v>1</v>
      </c>
      <c r="F506" s="38" t="s">
        <v>40</v>
      </c>
      <c r="G506" s="38" t="n">
        <v>505</v>
      </c>
      <c r="H506" s="39" t="s">
        <v>1554</v>
      </c>
      <c r="I506" s="39" t="s">
        <v>57</v>
      </c>
      <c r="J506" s="39" t="s">
        <v>33</v>
      </c>
      <c r="K506" s="41" t="n">
        <f aca="false">IF(E506=TRUE(),1,0)</f>
        <v>1</v>
      </c>
      <c r="L506" s="42" t="n">
        <v>46218.5142824074</v>
      </c>
    </row>
    <row r="507" customFormat="false" ht="15" hidden="false" customHeight="true" outlineLevel="0" collapsed="false">
      <c r="A507" s="43" t="n">
        <v>506</v>
      </c>
      <c r="B507" s="44" t="s">
        <v>1555</v>
      </c>
      <c r="C507" s="44" t="s">
        <v>1556</v>
      </c>
      <c r="D507" s="44" t="s">
        <v>33</v>
      </c>
      <c r="E507" s="45" t="b">
        <f aca="false">FALSE()</f>
        <v>0</v>
      </c>
      <c r="F507" s="43" t="s">
        <v>40</v>
      </c>
      <c r="G507" s="43" t="n">
        <v>506</v>
      </c>
      <c r="H507" s="44" t="s">
        <v>1557</v>
      </c>
      <c r="I507" s="44" t="s">
        <v>57</v>
      </c>
      <c r="J507" s="44" t="s">
        <v>47</v>
      </c>
      <c r="K507" s="46" t="n">
        <f aca="false">IF(E507=TRUE(),1,0)</f>
        <v>0</v>
      </c>
      <c r="L507" s="44"/>
    </row>
    <row r="508" customFormat="false" ht="15" hidden="false" customHeight="true" outlineLevel="0" collapsed="false">
      <c r="A508" s="38" t="n">
        <v>507</v>
      </c>
      <c r="B508" s="39" t="s">
        <v>1558</v>
      </c>
      <c r="C508" s="39" t="s">
        <v>1559</v>
      </c>
      <c r="D508" s="39" t="s">
        <v>37</v>
      </c>
      <c r="E508" s="40" t="b">
        <f aca="false">FALSE()</f>
        <v>0</v>
      </c>
      <c r="F508" s="38" t="s">
        <v>40</v>
      </c>
      <c r="G508" s="38" t="n">
        <v>507</v>
      </c>
      <c r="H508" s="39" t="s">
        <v>1560</v>
      </c>
      <c r="I508" s="39" t="s">
        <v>46</v>
      </c>
      <c r="J508" s="39" t="s">
        <v>47</v>
      </c>
      <c r="K508" s="41" t="n">
        <f aca="false">IF(E508=TRUE(),1,0)</f>
        <v>0</v>
      </c>
      <c r="L508" s="39"/>
    </row>
    <row r="509" customFormat="false" ht="15" hidden="false" customHeight="true" outlineLevel="0" collapsed="false">
      <c r="A509" s="43" t="n">
        <v>508</v>
      </c>
      <c r="B509" s="44" t="s">
        <v>1561</v>
      </c>
      <c r="C509" s="44" t="s">
        <v>1562</v>
      </c>
      <c r="D509" s="44" t="s">
        <v>47</v>
      </c>
      <c r="E509" s="45" t="b">
        <f aca="false">TRUE()</f>
        <v>1</v>
      </c>
      <c r="F509" s="43" t="s">
        <v>34</v>
      </c>
      <c r="G509" s="43" t="n">
        <v>508</v>
      </c>
      <c r="H509" s="44" t="s">
        <v>1563</v>
      </c>
      <c r="I509" s="44" t="s">
        <v>36</v>
      </c>
      <c r="J509" s="44" t="s">
        <v>47</v>
      </c>
      <c r="K509" s="46" t="n">
        <f aca="false">IF(E509=TRUE(),1,0)</f>
        <v>1</v>
      </c>
      <c r="L509" s="47" t="n">
        <v>46218.5159259259</v>
      </c>
    </row>
    <row r="510" customFormat="false" ht="15" hidden="false" customHeight="true" outlineLevel="0" collapsed="false">
      <c r="A510" s="38" t="n">
        <v>509</v>
      </c>
      <c r="B510" s="39" t="s">
        <v>1564</v>
      </c>
      <c r="C510" s="39" t="s">
        <v>1565</v>
      </c>
      <c r="D510" s="39" t="s">
        <v>37</v>
      </c>
      <c r="E510" s="40" t="b">
        <f aca="false">FALSE()</f>
        <v>0</v>
      </c>
      <c r="F510" s="38" t="s">
        <v>34</v>
      </c>
      <c r="G510" s="38" t="n">
        <v>509</v>
      </c>
      <c r="H510" s="39" t="s">
        <v>1566</v>
      </c>
      <c r="I510" s="39" t="s">
        <v>57</v>
      </c>
      <c r="J510" s="39" t="s">
        <v>37</v>
      </c>
      <c r="K510" s="41" t="n">
        <f aca="false">IF(E510=TRUE(),1,0)</f>
        <v>0</v>
      </c>
      <c r="L510" s="39"/>
    </row>
    <row r="511" customFormat="false" ht="15" hidden="false" customHeight="true" outlineLevel="0" collapsed="false">
      <c r="A511" s="43" t="n">
        <v>510</v>
      </c>
      <c r="B511" s="44" t="s">
        <v>1567</v>
      </c>
      <c r="C511" s="44" t="s">
        <v>1568</v>
      </c>
      <c r="D511" s="44" t="s">
        <v>47</v>
      </c>
      <c r="E511" s="45" t="b">
        <f aca="false">TRUE()</f>
        <v>1</v>
      </c>
      <c r="F511" s="43" t="s">
        <v>34</v>
      </c>
      <c r="G511" s="43" t="n">
        <v>510</v>
      </c>
      <c r="H511" s="44" t="s">
        <v>1569</v>
      </c>
      <c r="I511" s="44" t="s">
        <v>36</v>
      </c>
      <c r="J511" s="44" t="s">
        <v>37</v>
      </c>
      <c r="K511" s="46" t="n">
        <f aca="false">IF(E511=TRUE(),1,0)</f>
        <v>1</v>
      </c>
      <c r="L511" s="47" t="n">
        <v>46218.516724537</v>
      </c>
    </row>
    <row r="512" customFormat="false" ht="15" hidden="false" customHeight="true" outlineLevel="0" collapsed="false">
      <c r="A512" s="38" t="n">
        <v>511</v>
      </c>
      <c r="B512" s="39" t="s">
        <v>1570</v>
      </c>
      <c r="C512" s="39" t="s">
        <v>1571</v>
      </c>
      <c r="D512" s="39" t="s">
        <v>47</v>
      </c>
      <c r="E512" s="40" t="b">
        <f aca="false">TRUE()</f>
        <v>1</v>
      </c>
      <c r="F512" s="38" t="s">
        <v>40</v>
      </c>
      <c r="G512" s="38" t="n">
        <v>511</v>
      </c>
      <c r="H512" s="39" t="s">
        <v>1572</v>
      </c>
      <c r="I512" s="39" t="s">
        <v>36</v>
      </c>
      <c r="J512" s="39" t="s">
        <v>47</v>
      </c>
      <c r="K512" s="41" t="n">
        <f aca="false">IF(E512=TRUE(),1,0)</f>
        <v>1</v>
      </c>
      <c r="L512" s="42" t="n">
        <v>46218.5180324074</v>
      </c>
    </row>
    <row r="513" customFormat="false" ht="15" hidden="false" customHeight="true" outlineLevel="0" collapsed="false">
      <c r="A513" s="43" t="n">
        <v>512</v>
      </c>
      <c r="B513" s="44" t="s">
        <v>1573</v>
      </c>
      <c r="C513" s="44" t="s">
        <v>1574</v>
      </c>
      <c r="D513" s="44" t="s">
        <v>47</v>
      </c>
      <c r="E513" s="45" t="b">
        <f aca="false">FALSE()</f>
        <v>0</v>
      </c>
      <c r="F513" s="43" t="s">
        <v>40</v>
      </c>
      <c r="G513" s="43" t="n">
        <v>512</v>
      </c>
      <c r="H513" s="44" t="s">
        <v>1575</v>
      </c>
      <c r="I513" s="44" t="s">
        <v>36</v>
      </c>
      <c r="J513" s="44" t="s">
        <v>33</v>
      </c>
      <c r="K513" s="46" t="n">
        <f aca="false">IF(E513=TRUE(),1,0)</f>
        <v>0</v>
      </c>
      <c r="L513" s="44"/>
    </row>
    <row r="514" customFormat="false" ht="15" hidden="false" customHeight="true" outlineLevel="0" collapsed="false">
      <c r="A514" s="38" t="n">
        <v>513</v>
      </c>
      <c r="B514" s="39" t="s">
        <v>1576</v>
      </c>
      <c r="C514" s="39" t="s">
        <v>1577</v>
      </c>
      <c r="D514" s="39" t="s">
        <v>37</v>
      </c>
      <c r="E514" s="40" t="b">
        <f aca="false">FALSE()</f>
        <v>0</v>
      </c>
      <c r="F514" s="38" t="s">
        <v>34</v>
      </c>
      <c r="G514" s="38" t="n">
        <v>513</v>
      </c>
      <c r="H514" s="39" t="s">
        <v>1578</v>
      </c>
      <c r="I514" s="39" t="s">
        <v>36</v>
      </c>
      <c r="J514" s="39" t="s">
        <v>33</v>
      </c>
      <c r="K514" s="41" t="n">
        <f aca="false">IF(E514=TRUE(),1,0)</f>
        <v>0</v>
      </c>
      <c r="L514" s="39"/>
    </row>
    <row r="515" customFormat="false" ht="15" hidden="false" customHeight="true" outlineLevel="0" collapsed="false">
      <c r="A515" s="43" t="n">
        <v>514</v>
      </c>
      <c r="B515" s="44" t="s">
        <v>1579</v>
      </c>
      <c r="C515" s="44" t="s">
        <v>1580</v>
      </c>
      <c r="D515" s="44" t="s">
        <v>37</v>
      </c>
      <c r="E515" s="45" t="b">
        <f aca="false">TRUE()</f>
        <v>1</v>
      </c>
      <c r="F515" s="43" t="s">
        <v>44</v>
      </c>
      <c r="G515" s="43" t="n">
        <v>514</v>
      </c>
      <c r="H515" s="44" t="s">
        <v>1581</v>
      </c>
      <c r="I515" s="44" t="s">
        <v>36</v>
      </c>
      <c r="J515" s="44" t="s">
        <v>33</v>
      </c>
      <c r="K515" s="46" t="n">
        <f aca="false">IF(E515=TRUE(),1,0)</f>
        <v>1</v>
      </c>
      <c r="L515" s="47" t="n">
        <v>46218.51875</v>
      </c>
    </row>
    <row r="516" customFormat="false" ht="15" hidden="false" customHeight="true" outlineLevel="0" collapsed="false">
      <c r="A516" s="38" t="n">
        <v>515</v>
      </c>
      <c r="B516" s="39" t="s">
        <v>1582</v>
      </c>
      <c r="C516" s="39" t="s">
        <v>1583</v>
      </c>
      <c r="D516" s="39" t="s">
        <v>47</v>
      </c>
      <c r="E516" s="40" t="b">
        <f aca="false">FALSE()</f>
        <v>0</v>
      </c>
      <c r="F516" s="38" t="s">
        <v>40</v>
      </c>
      <c r="G516" s="38" t="n">
        <v>515</v>
      </c>
      <c r="H516" s="39" t="s">
        <v>1584</v>
      </c>
      <c r="I516" s="39" t="s">
        <v>36</v>
      </c>
      <c r="J516" s="39" t="s">
        <v>33</v>
      </c>
      <c r="K516" s="41" t="n">
        <f aca="false">IF(E516=TRUE(),1,0)</f>
        <v>0</v>
      </c>
      <c r="L516" s="39"/>
    </row>
    <row r="517" customFormat="false" ht="15" hidden="false" customHeight="true" outlineLevel="0" collapsed="false">
      <c r="A517" s="43" t="n">
        <v>516</v>
      </c>
      <c r="B517" s="44" t="s">
        <v>1585</v>
      </c>
      <c r="C517" s="44" t="s">
        <v>1586</v>
      </c>
      <c r="D517" s="44" t="s">
        <v>37</v>
      </c>
      <c r="E517" s="45" t="b">
        <f aca="false">FALSE()</f>
        <v>0</v>
      </c>
      <c r="F517" s="43" t="s">
        <v>34</v>
      </c>
      <c r="G517" s="43" t="n">
        <v>516</v>
      </c>
      <c r="H517" s="44" t="s">
        <v>1587</v>
      </c>
      <c r="I517" s="44" t="s">
        <v>57</v>
      </c>
      <c r="J517" s="44" t="s">
        <v>47</v>
      </c>
      <c r="K517" s="46" t="n">
        <f aca="false">IF(E517=TRUE(),1,0)</f>
        <v>0</v>
      </c>
      <c r="L517" s="44"/>
    </row>
    <row r="518" customFormat="false" ht="15" hidden="false" customHeight="true" outlineLevel="0" collapsed="false">
      <c r="A518" s="38" t="n">
        <v>517</v>
      </c>
      <c r="B518" s="39" t="s">
        <v>1588</v>
      </c>
      <c r="C518" s="39" t="s">
        <v>1589</v>
      </c>
      <c r="D518" s="39" t="s">
        <v>33</v>
      </c>
      <c r="E518" s="40" t="b">
        <f aca="false">TRUE()</f>
        <v>1</v>
      </c>
      <c r="F518" s="38" t="s">
        <v>40</v>
      </c>
      <c r="G518" s="38" t="n">
        <v>517</v>
      </c>
      <c r="H518" s="39" t="s">
        <v>1590</v>
      </c>
      <c r="I518" s="39" t="s">
        <v>36</v>
      </c>
      <c r="J518" s="39" t="s">
        <v>37</v>
      </c>
      <c r="K518" s="41" t="n">
        <f aca="false">IF(E518=TRUE(),1,0)</f>
        <v>1</v>
      </c>
      <c r="L518" s="42" t="n">
        <v>46218.519212963</v>
      </c>
    </row>
    <row r="519" customFormat="false" ht="15" hidden="false" customHeight="true" outlineLevel="0" collapsed="false">
      <c r="A519" s="43" t="n">
        <v>518</v>
      </c>
      <c r="B519" s="44" t="s">
        <v>1591</v>
      </c>
      <c r="C519" s="44" t="s">
        <v>1592</v>
      </c>
      <c r="D519" s="44" t="s">
        <v>47</v>
      </c>
      <c r="E519" s="45" t="b">
        <f aca="false">TRUE()</f>
        <v>1</v>
      </c>
      <c r="F519" s="43" t="s">
        <v>44</v>
      </c>
      <c r="G519" s="43" t="n">
        <v>518</v>
      </c>
      <c r="H519" s="44" t="s">
        <v>1593</v>
      </c>
      <c r="I519" s="44" t="s">
        <v>57</v>
      </c>
      <c r="J519" s="44" t="s">
        <v>33</v>
      </c>
      <c r="K519" s="46" t="n">
        <f aca="false">IF(E519=TRUE(),1,0)</f>
        <v>1</v>
      </c>
      <c r="L519" s="47" t="n">
        <v>46218.5194560185</v>
      </c>
    </row>
    <row r="520" customFormat="false" ht="15" hidden="false" customHeight="true" outlineLevel="0" collapsed="false">
      <c r="A520" s="38" t="n">
        <v>519</v>
      </c>
      <c r="B520" s="39" t="s">
        <v>1594</v>
      </c>
      <c r="C520" s="39" t="s">
        <v>1595</v>
      </c>
      <c r="D520" s="39" t="s">
        <v>37</v>
      </c>
      <c r="E520" s="40" t="b">
        <f aca="false">TRUE()</f>
        <v>1</v>
      </c>
      <c r="F520" s="38" t="s">
        <v>40</v>
      </c>
      <c r="G520" s="38" t="n">
        <v>519</v>
      </c>
      <c r="H520" s="39" t="s">
        <v>1596</v>
      </c>
      <c r="I520" s="39" t="s">
        <v>36</v>
      </c>
      <c r="J520" s="39" t="s">
        <v>37</v>
      </c>
      <c r="K520" s="41" t="n">
        <f aca="false">IF(E520=TRUE(),1,0)</f>
        <v>1</v>
      </c>
      <c r="L520" s="42" t="n">
        <v>46218.5199421296</v>
      </c>
    </row>
    <row r="521" customFormat="false" ht="15" hidden="false" customHeight="true" outlineLevel="0" collapsed="false">
      <c r="A521" s="43" t="n">
        <v>520</v>
      </c>
      <c r="B521" s="44" t="s">
        <v>1597</v>
      </c>
      <c r="C521" s="44" t="s">
        <v>1598</v>
      </c>
      <c r="D521" s="44" t="s">
        <v>37</v>
      </c>
      <c r="E521" s="45" t="b">
        <f aca="false">TRUE()</f>
        <v>1</v>
      </c>
      <c r="F521" s="43" t="s">
        <v>34</v>
      </c>
      <c r="G521" s="43" t="n">
        <v>520</v>
      </c>
      <c r="H521" s="44" t="s">
        <v>1599</v>
      </c>
      <c r="I521" s="44" t="s">
        <v>36</v>
      </c>
      <c r="J521" s="44" t="s">
        <v>47</v>
      </c>
      <c r="K521" s="46" t="n">
        <f aca="false">IF(E521=TRUE(),1,0)</f>
        <v>1</v>
      </c>
      <c r="L521" s="47" t="n">
        <v>46218.5211226852</v>
      </c>
    </row>
    <row r="522" customFormat="false" ht="15" hidden="false" customHeight="true" outlineLevel="0" collapsed="false">
      <c r="A522" s="38" t="n">
        <v>521</v>
      </c>
      <c r="B522" s="39" t="s">
        <v>1600</v>
      </c>
      <c r="C522" s="39" t="s">
        <v>1601</v>
      </c>
      <c r="D522" s="39" t="s">
        <v>37</v>
      </c>
      <c r="E522" s="40" t="b">
        <f aca="false">FALSE()</f>
        <v>0</v>
      </c>
      <c r="F522" s="38" t="s">
        <v>40</v>
      </c>
      <c r="G522" s="38" t="n">
        <v>521</v>
      </c>
      <c r="H522" s="39" t="s">
        <v>1602</v>
      </c>
      <c r="I522" s="39" t="s">
        <v>36</v>
      </c>
      <c r="J522" s="39" t="s">
        <v>37</v>
      </c>
      <c r="K522" s="41" t="n">
        <f aca="false">IF(E522=TRUE(),1,0)</f>
        <v>0</v>
      </c>
      <c r="L522" s="39"/>
    </row>
    <row r="523" customFormat="false" ht="15" hidden="false" customHeight="true" outlineLevel="0" collapsed="false">
      <c r="A523" s="43" t="n">
        <v>522</v>
      </c>
      <c r="B523" s="44" t="s">
        <v>1603</v>
      </c>
      <c r="C523" s="44" t="s">
        <v>1604</v>
      </c>
      <c r="D523" s="44" t="s">
        <v>47</v>
      </c>
      <c r="E523" s="45" t="b">
        <f aca="false">TRUE()</f>
        <v>1</v>
      </c>
      <c r="F523" s="43" t="s">
        <v>40</v>
      </c>
      <c r="G523" s="43" t="n">
        <v>522</v>
      </c>
      <c r="H523" s="44" t="s">
        <v>1605</v>
      </c>
      <c r="I523" s="44" t="s">
        <v>46</v>
      </c>
      <c r="J523" s="44" t="s">
        <v>37</v>
      </c>
      <c r="K523" s="46" t="n">
        <f aca="false">IF(E523=TRUE(),1,0)</f>
        <v>1</v>
      </c>
      <c r="L523" s="47" t="n">
        <v>46218.5221527778</v>
      </c>
    </row>
    <row r="524" customFormat="false" ht="15" hidden="false" customHeight="true" outlineLevel="0" collapsed="false">
      <c r="A524" s="38" t="n">
        <v>523</v>
      </c>
      <c r="B524" s="39" t="s">
        <v>1606</v>
      </c>
      <c r="C524" s="39" t="s">
        <v>1607</v>
      </c>
      <c r="D524" s="39" t="s">
        <v>33</v>
      </c>
      <c r="E524" s="40" t="b">
        <f aca="false">FALSE()</f>
        <v>0</v>
      </c>
      <c r="F524" s="38" t="s">
        <v>34</v>
      </c>
      <c r="G524" s="38" t="n">
        <v>523</v>
      </c>
      <c r="H524" s="39" t="s">
        <v>1608</v>
      </c>
      <c r="I524" s="39" t="s">
        <v>57</v>
      </c>
      <c r="J524" s="39" t="s">
        <v>33</v>
      </c>
      <c r="K524" s="41" t="n">
        <f aca="false">IF(E524=TRUE(),1,0)</f>
        <v>0</v>
      </c>
      <c r="L524" s="39"/>
    </row>
    <row r="525" customFormat="false" ht="15" hidden="false" customHeight="true" outlineLevel="0" collapsed="false">
      <c r="A525" s="43" t="n">
        <v>524</v>
      </c>
      <c r="B525" s="44" t="s">
        <v>1609</v>
      </c>
      <c r="C525" s="44" t="s">
        <v>1610</v>
      </c>
      <c r="D525" s="44" t="s">
        <v>47</v>
      </c>
      <c r="E525" s="45" t="b">
        <f aca="false">FALSE()</f>
        <v>0</v>
      </c>
      <c r="F525" s="43" t="s">
        <v>44</v>
      </c>
      <c r="G525" s="43" t="n">
        <v>524</v>
      </c>
      <c r="H525" s="44" t="s">
        <v>1611</v>
      </c>
      <c r="I525" s="44" t="s">
        <v>36</v>
      </c>
      <c r="J525" s="44" t="s">
        <v>33</v>
      </c>
      <c r="K525" s="46" t="n">
        <f aca="false">IF(E525=TRUE(),1,0)</f>
        <v>0</v>
      </c>
      <c r="L525" s="44"/>
    </row>
    <row r="526" customFormat="false" ht="15" hidden="false" customHeight="true" outlineLevel="0" collapsed="false">
      <c r="A526" s="38" t="n">
        <v>525</v>
      </c>
      <c r="B526" s="39" t="s">
        <v>1612</v>
      </c>
      <c r="C526" s="39" t="s">
        <v>1613</v>
      </c>
      <c r="D526" s="39" t="s">
        <v>37</v>
      </c>
      <c r="E526" s="40" t="b">
        <f aca="false">FALSE()</f>
        <v>0</v>
      </c>
      <c r="F526" s="38" t="s">
        <v>34</v>
      </c>
      <c r="G526" s="38" t="n">
        <v>525</v>
      </c>
      <c r="H526" s="39" t="s">
        <v>1614</v>
      </c>
      <c r="I526" s="39" t="s">
        <v>46</v>
      </c>
      <c r="J526" s="39" t="s">
        <v>33</v>
      </c>
      <c r="K526" s="41" t="n">
        <f aca="false">IF(E526=TRUE(),1,0)</f>
        <v>0</v>
      </c>
      <c r="L526" s="39"/>
    </row>
    <row r="527" customFormat="false" ht="15" hidden="false" customHeight="true" outlineLevel="0" collapsed="false">
      <c r="A527" s="43" t="n">
        <v>526</v>
      </c>
      <c r="B527" s="44" t="s">
        <v>1615</v>
      </c>
      <c r="C527" s="44" t="s">
        <v>1616</v>
      </c>
      <c r="D527" s="44" t="s">
        <v>33</v>
      </c>
      <c r="E527" s="45" t="b">
        <f aca="false">FALSE()</f>
        <v>0</v>
      </c>
      <c r="F527" s="43" t="s">
        <v>40</v>
      </c>
      <c r="G527" s="43" t="n">
        <v>526</v>
      </c>
      <c r="H527" s="44" t="s">
        <v>1617</v>
      </c>
      <c r="I527" s="44" t="s">
        <v>36</v>
      </c>
      <c r="J527" s="44" t="s">
        <v>37</v>
      </c>
      <c r="K527" s="46" t="n">
        <f aca="false">IF(E527=TRUE(),1,0)</f>
        <v>0</v>
      </c>
      <c r="L527" s="44"/>
    </row>
    <row r="528" customFormat="false" ht="15" hidden="false" customHeight="true" outlineLevel="0" collapsed="false">
      <c r="A528" s="38" t="n">
        <v>527</v>
      </c>
      <c r="B528" s="39" t="s">
        <v>1618</v>
      </c>
      <c r="C528" s="39" t="s">
        <v>1619</v>
      </c>
      <c r="D528" s="39" t="s">
        <v>47</v>
      </c>
      <c r="E528" s="40" t="b">
        <f aca="false">TRUE()</f>
        <v>1</v>
      </c>
      <c r="F528" s="38" t="s">
        <v>44</v>
      </c>
      <c r="G528" s="38" t="n">
        <v>527</v>
      </c>
      <c r="H528" s="39" t="s">
        <v>1620</v>
      </c>
      <c r="I528" s="39" t="s">
        <v>36</v>
      </c>
      <c r="J528" s="39" t="s">
        <v>33</v>
      </c>
      <c r="K528" s="41" t="n">
        <f aca="false">IF(E528=TRUE(),1,0)</f>
        <v>1</v>
      </c>
      <c r="L528" s="42" t="n">
        <v>46218.5231481482</v>
      </c>
    </row>
    <row r="529" customFormat="false" ht="15" hidden="false" customHeight="true" outlineLevel="0" collapsed="false">
      <c r="A529" s="43" t="n">
        <v>528</v>
      </c>
      <c r="B529" s="44" t="s">
        <v>1621</v>
      </c>
      <c r="C529" s="44" t="s">
        <v>1622</v>
      </c>
      <c r="D529" s="44" t="s">
        <v>33</v>
      </c>
      <c r="E529" s="45" t="b">
        <f aca="false">TRUE()</f>
        <v>1</v>
      </c>
      <c r="F529" s="43" t="s">
        <v>40</v>
      </c>
      <c r="G529" s="43" t="n">
        <v>528</v>
      </c>
      <c r="H529" s="44" t="s">
        <v>1623</v>
      </c>
      <c r="I529" s="44" t="s">
        <v>46</v>
      </c>
      <c r="J529" s="44" t="s">
        <v>47</v>
      </c>
      <c r="K529" s="46" t="n">
        <f aca="false">IF(E529=TRUE(),1,0)</f>
        <v>1</v>
      </c>
      <c r="L529" s="47" t="n">
        <v>46218.5249189815</v>
      </c>
    </row>
    <row r="530" customFormat="false" ht="15" hidden="false" customHeight="true" outlineLevel="0" collapsed="false">
      <c r="A530" s="38" t="n">
        <v>529</v>
      </c>
      <c r="B530" s="39" t="s">
        <v>1624</v>
      </c>
      <c r="C530" s="39" t="s">
        <v>1625</v>
      </c>
      <c r="D530" s="39" t="s">
        <v>33</v>
      </c>
      <c r="E530" s="40" t="b">
        <f aca="false">TRUE()</f>
        <v>1</v>
      </c>
      <c r="F530" s="38" t="s">
        <v>44</v>
      </c>
      <c r="G530" s="38" t="n">
        <v>529</v>
      </c>
      <c r="H530" s="39" t="s">
        <v>1626</v>
      </c>
      <c r="I530" s="39" t="s">
        <v>36</v>
      </c>
      <c r="J530" s="39" t="s">
        <v>33</v>
      </c>
      <c r="K530" s="41" t="n">
        <f aca="false">IF(E530=TRUE(),1,0)</f>
        <v>1</v>
      </c>
      <c r="L530" s="42" t="n">
        <v>46218.5254861111</v>
      </c>
    </row>
    <row r="531" customFormat="false" ht="15" hidden="false" customHeight="true" outlineLevel="0" collapsed="false">
      <c r="A531" s="43" t="n">
        <v>530</v>
      </c>
      <c r="B531" s="44" t="s">
        <v>1627</v>
      </c>
      <c r="C531" s="44" t="s">
        <v>1628</v>
      </c>
      <c r="D531" s="44" t="s">
        <v>47</v>
      </c>
      <c r="E531" s="45" t="b">
        <f aca="false">FALSE()</f>
        <v>0</v>
      </c>
      <c r="F531" s="43" t="s">
        <v>44</v>
      </c>
      <c r="G531" s="43" t="n">
        <v>530</v>
      </c>
      <c r="H531" s="44" t="s">
        <v>1629</v>
      </c>
      <c r="I531" s="44" t="s">
        <v>57</v>
      </c>
      <c r="J531" s="44" t="s">
        <v>47</v>
      </c>
      <c r="K531" s="46" t="n">
        <f aca="false">IF(E531=TRUE(),1,0)</f>
        <v>0</v>
      </c>
      <c r="L531" s="44"/>
    </row>
    <row r="532" customFormat="false" ht="15" hidden="false" customHeight="true" outlineLevel="0" collapsed="false">
      <c r="A532" s="38" t="n">
        <v>531</v>
      </c>
      <c r="B532" s="39" t="s">
        <v>1630</v>
      </c>
      <c r="C532" s="39" t="s">
        <v>1631</v>
      </c>
      <c r="D532" s="39" t="s">
        <v>33</v>
      </c>
      <c r="E532" s="40" t="b">
        <f aca="false">TRUE()</f>
        <v>1</v>
      </c>
      <c r="F532" s="38" t="s">
        <v>40</v>
      </c>
      <c r="G532" s="38" t="n">
        <v>531</v>
      </c>
      <c r="H532" s="39" t="s">
        <v>1632</v>
      </c>
      <c r="I532" s="39" t="s">
        <v>46</v>
      </c>
      <c r="J532" s="39" t="s">
        <v>33</v>
      </c>
      <c r="K532" s="41" t="n">
        <f aca="false">IF(E532=TRUE(),1,0)</f>
        <v>1</v>
      </c>
      <c r="L532" s="42" t="n">
        <v>46218.5262615741</v>
      </c>
    </row>
    <row r="533" customFormat="false" ht="15" hidden="false" customHeight="true" outlineLevel="0" collapsed="false">
      <c r="A533" s="43" t="n">
        <v>532</v>
      </c>
      <c r="B533" s="44" t="s">
        <v>1633</v>
      </c>
      <c r="C533" s="44" t="s">
        <v>1634</v>
      </c>
      <c r="D533" s="44" t="s">
        <v>33</v>
      </c>
      <c r="E533" s="45" t="b">
        <f aca="false">TRUE()</f>
        <v>1</v>
      </c>
      <c r="F533" s="43" t="s">
        <v>34</v>
      </c>
      <c r="G533" s="43" t="n">
        <v>532</v>
      </c>
      <c r="H533" s="44" t="s">
        <v>1635</v>
      </c>
      <c r="I533" s="44" t="s">
        <v>46</v>
      </c>
      <c r="J533" s="44" t="s">
        <v>47</v>
      </c>
      <c r="K533" s="46" t="n">
        <f aca="false">IF(E533=TRUE(),1,0)</f>
        <v>1</v>
      </c>
      <c r="L533" s="47" t="n">
        <v>46218.5281018519</v>
      </c>
    </row>
    <row r="534" customFormat="false" ht="15" hidden="false" customHeight="true" outlineLevel="0" collapsed="false">
      <c r="A534" s="38" t="n">
        <v>533</v>
      </c>
      <c r="B534" s="39" t="s">
        <v>1636</v>
      </c>
      <c r="C534" s="39" t="s">
        <v>1637</v>
      </c>
      <c r="D534" s="39" t="s">
        <v>47</v>
      </c>
      <c r="E534" s="40" t="b">
        <f aca="false">TRUE()</f>
        <v>1</v>
      </c>
      <c r="F534" s="38" t="s">
        <v>44</v>
      </c>
      <c r="G534" s="38" t="n">
        <v>533</v>
      </c>
      <c r="H534" s="39" t="s">
        <v>1638</v>
      </c>
      <c r="I534" s="39" t="s">
        <v>46</v>
      </c>
      <c r="J534" s="39" t="s">
        <v>37</v>
      </c>
      <c r="K534" s="41" t="n">
        <f aca="false">IF(E534=TRUE(),1,0)</f>
        <v>1</v>
      </c>
      <c r="L534" s="42" t="n">
        <v>46218.529537037</v>
      </c>
    </row>
    <row r="535" customFormat="false" ht="15" hidden="false" customHeight="true" outlineLevel="0" collapsed="false">
      <c r="A535" s="43" t="n">
        <v>534</v>
      </c>
      <c r="B535" s="44" t="s">
        <v>1639</v>
      </c>
      <c r="C535" s="44" t="s">
        <v>1640</v>
      </c>
      <c r="D535" s="44" t="s">
        <v>47</v>
      </c>
      <c r="E535" s="45" t="b">
        <f aca="false">FALSE()</f>
        <v>0</v>
      </c>
      <c r="F535" s="43" t="s">
        <v>44</v>
      </c>
      <c r="G535" s="43" t="n">
        <v>534</v>
      </c>
      <c r="H535" s="44" t="s">
        <v>1641</v>
      </c>
      <c r="I535" s="44" t="s">
        <v>46</v>
      </c>
      <c r="J535" s="44" t="s">
        <v>33</v>
      </c>
      <c r="K535" s="46" t="n">
        <f aca="false">IF(E535=TRUE(),1,0)</f>
        <v>0</v>
      </c>
      <c r="L535" s="44"/>
    </row>
    <row r="536" customFormat="false" ht="15" hidden="false" customHeight="true" outlineLevel="0" collapsed="false">
      <c r="A536" s="38" t="n">
        <v>535</v>
      </c>
      <c r="B536" s="39" t="s">
        <v>1642</v>
      </c>
      <c r="C536" s="39" t="s">
        <v>1643</v>
      </c>
      <c r="D536" s="39" t="s">
        <v>37</v>
      </c>
      <c r="E536" s="40" t="b">
        <f aca="false">FALSE()</f>
        <v>0</v>
      </c>
      <c r="F536" s="38" t="s">
        <v>40</v>
      </c>
      <c r="G536" s="38" t="n">
        <v>535</v>
      </c>
      <c r="H536" s="39" t="s">
        <v>1644</v>
      </c>
      <c r="I536" s="39" t="s">
        <v>57</v>
      </c>
      <c r="J536" s="39" t="s">
        <v>37</v>
      </c>
      <c r="K536" s="41" t="n">
        <f aca="false">IF(E536=TRUE(),1,0)</f>
        <v>0</v>
      </c>
      <c r="L536" s="39"/>
    </row>
    <row r="537" customFormat="false" ht="15" hidden="false" customHeight="true" outlineLevel="0" collapsed="false">
      <c r="A537" s="43" t="n">
        <v>536</v>
      </c>
      <c r="B537" s="44" t="s">
        <v>1645</v>
      </c>
      <c r="C537" s="44" t="s">
        <v>1646</v>
      </c>
      <c r="D537" s="44" t="s">
        <v>37</v>
      </c>
      <c r="E537" s="45" t="b">
        <f aca="false">FALSE()</f>
        <v>0</v>
      </c>
      <c r="F537" s="43" t="s">
        <v>40</v>
      </c>
      <c r="G537" s="43" t="n">
        <v>536</v>
      </c>
      <c r="H537" s="44" t="s">
        <v>1647</v>
      </c>
      <c r="I537" s="44" t="s">
        <v>36</v>
      </c>
      <c r="J537" s="44" t="s">
        <v>37</v>
      </c>
      <c r="K537" s="46" t="n">
        <f aca="false">IF(E537=TRUE(),1,0)</f>
        <v>0</v>
      </c>
      <c r="L537" s="44"/>
    </row>
    <row r="538" customFormat="false" ht="15" hidden="false" customHeight="true" outlineLevel="0" collapsed="false">
      <c r="A538" s="38" t="n">
        <v>537</v>
      </c>
      <c r="B538" s="39" t="s">
        <v>1648</v>
      </c>
      <c r="C538" s="39" t="s">
        <v>1649</v>
      </c>
      <c r="D538" s="39" t="s">
        <v>37</v>
      </c>
      <c r="E538" s="40" t="b">
        <f aca="false">FALSE()</f>
        <v>0</v>
      </c>
      <c r="F538" s="38" t="s">
        <v>44</v>
      </c>
      <c r="G538" s="38" t="n">
        <v>537</v>
      </c>
      <c r="H538" s="39" t="s">
        <v>1650</v>
      </c>
      <c r="I538" s="39" t="s">
        <v>46</v>
      </c>
      <c r="J538" s="39" t="s">
        <v>37</v>
      </c>
      <c r="K538" s="41" t="n">
        <f aca="false">IF(E538=TRUE(),1,0)</f>
        <v>0</v>
      </c>
      <c r="L538" s="39"/>
    </row>
    <row r="539" customFormat="false" ht="15" hidden="false" customHeight="true" outlineLevel="0" collapsed="false">
      <c r="A539" s="43" t="n">
        <v>538</v>
      </c>
      <c r="B539" s="44" t="s">
        <v>1651</v>
      </c>
      <c r="C539" s="44" t="s">
        <v>1652</v>
      </c>
      <c r="D539" s="44" t="s">
        <v>37</v>
      </c>
      <c r="E539" s="45" t="b">
        <f aca="false">FALSE()</f>
        <v>0</v>
      </c>
      <c r="F539" s="43" t="s">
        <v>34</v>
      </c>
      <c r="G539" s="43" t="n">
        <v>538</v>
      </c>
      <c r="H539" s="44" t="s">
        <v>1653</v>
      </c>
      <c r="I539" s="44" t="s">
        <v>46</v>
      </c>
      <c r="J539" s="44" t="s">
        <v>37</v>
      </c>
      <c r="K539" s="46" t="n">
        <f aca="false">IF(E539=TRUE(),1,0)</f>
        <v>0</v>
      </c>
      <c r="L539" s="44"/>
    </row>
    <row r="540" customFormat="false" ht="15" hidden="false" customHeight="true" outlineLevel="0" collapsed="false">
      <c r="A540" s="38" t="n">
        <v>539</v>
      </c>
      <c r="B540" s="39" t="s">
        <v>1654</v>
      </c>
      <c r="C540" s="39" t="s">
        <v>1655</v>
      </c>
      <c r="D540" s="39" t="s">
        <v>47</v>
      </c>
      <c r="E540" s="40" t="b">
        <f aca="false">FALSE()</f>
        <v>0</v>
      </c>
      <c r="F540" s="38" t="s">
        <v>44</v>
      </c>
      <c r="G540" s="38" t="n">
        <v>539</v>
      </c>
      <c r="H540" s="39" t="s">
        <v>1656</v>
      </c>
      <c r="I540" s="39" t="s">
        <v>57</v>
      </c>
      <c r="J540" s="39" t="s">
        <v>37</v>
      </c>
      <c r="K540" s="41" t="n">
        <f aca="false">IF(E540=TRUE(),1,0)</f>
        <v>0</v>
      </c>
      <c r="L540" s="39"/>
    </row>
    <row r="541" customFormat="false" ht="15" hidden="false" customHeight="true" outlineLevel="0" collapsed="false">
      <c r="A541" s="43" t="n">
        <v>540</v>
      </c>
      <c r="B541" s="44" t="s">
        <v>1657</v>
      </c>
      <c r="C541" s="44" t="s">
        <v>1658</v>
      </c>
      <c r="D541" s="44" t="s">
        <v>33</v>
      </c>
      <c r="E541" s="45" t="b">
        <f aca="false">FALSE()</f>
        <v>0</v>
      </c>
      <c r="F541" s="43" t="s">
        <v>34</v>
      </c>
      <c r="G541" s="43" t="n">
        <v>540</v>
      </c>
      <c r="H541" s="44" t="s">
        <v>1659</v>
      </c>
      <c r="I541" s="44" t="s">
        <v>57</v>
      </c>
      <c r="J541" s="44" t="s">
        <v>33</v>
      </c>
      <c r="K541" s="46" t="n">
        <f aca="false">IF(E541=TRUE(),1,0)</f>
        <v>0</v>
      </c>
      <c r="L541" s="44"/>
    </row>
    <row r="542" customFormat="false" ht="15" hidden="false" customHeight="true" outlineLevel="0" collapsed="false">
      <c r="A542" s="38" t="n">
        <v>541</v>
      </c>
      <c r="B542" s="39" t="s">
        <v>1660</v>
      </c>
      <c r="C542" s="39" t="s">
        <v>1661</v>
      </c>
      <c r="D542" s="39" t="s">
        <v>47</v>
      </c>
      <c r="E542" s="40" t="b">
        <f aca="false">FALSE()</f>
        <v>0</v>
      </c>
      <c r="F542" s="38" t="s">
        <v>40</v>
      </c>
      <c r="G542" s="38" t="n">
        <v>541</v>
      </c>
      <c r="H542" s="39" t="s">
        <v>1662</v>
      </c>
      <c r="I542" s="39" t="s">
        <v>36</v>
      </c>
      <c r="J542" s="39" t="s">
        <v>33</v>
      </c>
      <c r="K542" s="41" t="n">
        <f aca="false">IF(E542=TRUE(),1,0)</f>
        <v>0</v>
      </c>
      <c r="L542" s="39"/>
    </row>
    <row r="543" customFormat="false" ht="15" hidden="false" customHeight="true" outlineLevel="0" collapsed="false">
      <c r="A543" s="43" t="n">
        <v>542</v>
      </c>
      <c r="B543" s="44" t="s">
        <v>1663</v>
      </c>
      <c r="C543" s="44" t="s">
        <v>1664</v>
      </c>
      <c r="D543" s="44" t="s">
        <v>33</v>
      </c>
      <c r="E543" s="45" t="b">
        <f aca="false">FALSE()</f>
        <v>0</v>
      </c>
      <c r="F543" s="43" t="s">
        <v>44</v>
      </c>
      <c r="G543" s="43" t="n">
        <v>542</v>
      </c>
      <c r="H543" s="44" t="s">
        <v>1665</v>
      </c>
      <c r="I543" s="44" t="s">
        <v>46</v>
      </c>
      <c r="J543" s="44" t="s">
        <v>47</v>
      </c>
      <c r="K543" s="46" t="n">
        <f aca="false">IF(E543=TRUE(),1,0)</f>
        <v>0</v>
      </c>
      <c r="L543" s="44"/>
    </row>
    <row r="544" customFormat="false" ht="15" hidden="false" customHeight="true" outlineLevel="0" collapsed="false">
      <c r="A544" s="38" t="n">
        <v>543</v>
      </c>
      <c r="B544" s="39" t="s">
        <v>1666</v>
      </c>
      <c r="C544" s="39" t="s">
        <v>1667</v>
      </c>
      <c r="D544" s="39" t="s">
        <v>47</v>
      </c>
      <c r="E544" s="40" t="b">
        <f aca="false">TRUE()</f>
        <v>1</v>
      </c>
      <c r="F544" s="38" t="s">
        <v>34</v>
      </c>
      <c r="G544" s="38" t="n">
        <v>543</v>
      </c>
      <c r="H544" s="39" t="s">
        <v>1668</v>
      </c>
      <c r="I544" s="39" t="s">
        <v>36</v>
      </c>
      <c r="J544" s="39" t="s">
        <v>33</v>
      </c>
      <c r="K544" s="41" t="n">
        <f aca="false">IF(E544=TRUE(),1,0)</f>
        <v>1</v>
      </c>
      <c r="L544" s="42" t="n">
        <v>46218.5295949074</v>
      </c>
    </row>
    <row r="545" customFormat="false" ht="15" hidden="false" customHeight="true" outlineLevel="0" collapsed="false">
      <c r="A545" s="43" t="n">
        <v>544</v>
      </c>
      <c r="B545" s="44" t="s">
        <v>1669</v>
      </c>
      <c r="C545" s="44" t="s">
        <v>1670</v>
      </c>
      <c r="D545" s="44" t="s">
        <v>33</v>
      </c>
      <c r="E545" s="45" t="b">
        <f aca="false">FALSE()</f>
        <v>0</v>
      </c>
      <c r="F545" s="43" t="s">
        <v>34</v>
      </c>
      <c r="G545" s="43" t="n">
        <v>544</v>
      </c>
      <c r="H545" s="44" t="s">
        <v>1671</v>
      </c>
      <c r="I545" s="44" t="s">
        <v>36</v>
      </c>
      <c r="J545" s="44" t="s">
        <v>47</v>
      </c>
      <c r="K545" s="46" t="n">
        <f aca="false">IF(E545=TRUE(),1,0)</f>
        <v>0</v>
      </c>
      <c r="L545" s="44"/>
    </row>
    <row r="546" customFormat="false" ht="15" hidden="false" customHeight="true" outlineLevel="0" collapsed="false">
      <c r="A546" s="38" t="n">
        <v>545</v>
      </c>
      <c r="B546" s="39" t="s">
        <v>1672</v>
      </c>
      <c r="C546" s="39" t="s">
        <v>1673</v>
      </c>
      <c r="D546" s="39" t="s">
        <v>47</v>
      </c>
      <c r="E546" s="40" t="b">
        <f aca="false">FALSE()</f>
        <v>0</v>
      </c>
      <c r="F546" s="38" t="s">
        <v>44</v>
      </c>
      <c r="G546" s="38" t="n">
        <v>545</v>
      </c>
      <c r="H546" s="39" t="s">
        <v>1674</v>
      </c>
      <c r="I546" s="39" t="s">
        <v>36</v>
      </c>
      <c r="J546" s="39" t="s">
        <v>37</v>
      </c>
      <c r="K546" s="41" t="n">
        <f aca="false">IF(E546=TRUE(),1,0)</f>
        <v>0</v>
      </c>
      <c r="L546" s="39"/>
    </row>
    <row r="547" customFormat="false" ht="15" hidden="false" customHeight="true" outlineLevel="0" collapsed="false">
      <c r="A547" s="43" t="n">
        <v>546</v>
      </c>
      <c r="B547" s="44" t="s">
        <v>1675</v>
      </c>
      <c r="C547" s="44" t="s">
        <v>1676</v>
      </c>
      <c r="D547" s="44" t="s">
        <v>47</v>
      </c>
      <c r="E547" s="45" t="b">
        <f aca="false">FALSE()</f>
        <v>0</v>
      </c>
      <c r="F547" s="43" t="s">
        <v>34</v>
      </c>
      <c r="G547" s="43" t="n">
        <v>546</v>
      </c>
      <c r="H547" s="44" t="s">
        <v>1677</v>
      </c>
      <c r="I547" s="44" t="s">
        <v>57</v>
      </c>
      <c r="J547" s="44" t="s">
        <v>37</v>
      </c>
      <c r="K547" s="46" t="n">
        <f aca="false">IF(E547=TRUE(),1,0)</f>
        <v>0</v>
      </c>
      <c r="L547" s="44"/>
    </row>
    <row r="548" customFormat="false" ht="15" hidden="false" customHeight="true" outlineLevel="0" collapsed="false">
      <c r="A548" s="38" t="n">
        <v>547</v>
      </c>
      <c r="B548" s="39" t="s">
        <v>1678</v>
      </c>
      <c r="C548" s="39" t="s">
        <v>1679</v>
      </c>
      <c r="D548" s="39" t="s">
        <v>33</v>
      </c>
      <c r="E548" s="40" t="b">
        <f aca="false">FALSE()</f>
        <v>0</v>
      </c>
      <c r="F548" s="38" t="s">
        <v>44</v>
      </c>
      <c r="G548" s="38" t="n">
        <v>547</v>
      </c>
      <c r="H548" s="39" t="s">
        <v>1680</v>
      </c>
      <c r="I548" s="39" t="s">
        <v>36</v>
      </c>
      <c r="J548" s="39" t="s">
        <v>37</v>
      </c>
      <c r="K548" s="41" t="n">
        <f aca="false">IF(E548=TRUE(),1,0)</f>
        <v>0</v>
      </c>
      <c r="L548" s="39"/>
    </row>
    <row r="549" customFormat="false" ht="15" hidden="false" customHeight="true" outlineLevel="0" collapsed="false">
      <c r="A549" s="43" t="n">
        <v>548</v>
      </c>
      <c r="B549" s="44" t="s">
        <v>1681</v>
      </c>
      <c r="C549" s="44" t="s">
        <v>1682</v>
      </c>
      <c r="D549" s="44" t="s">
        <v>33</v>
      </c>
      <c r="E549" s="45" t="b">
        <f aca="false">TRUE()</f>
        <v>1</v>
      </c>
      <c r="F549" s="43" t="s">
        <v>34</v>
      </c>
      <c r="G549" s="43" t="n">
        <v>548</v>
      </c>
      <c r="H549" s="44" t="s">
        <v>1683</v>
      </c>
      <c r="I549" s="44" t="s">
        <v>36</v>
      </c>
      <c r="J549" s="44" t="s">
        <v>37</v>
      </c>
      <c r="K549" s="46" t="n">
        <f aca="false">IF(E549=TRUE(),1,0)</f>
        <v>1</v>
      </c>
      <c r="L549" s="47" t="n">
        <v>46218.5297685185</v>
      </c>
    </row>
    <row r="550" customFormat="false" ht="15" hidden="false" customHeight="true" outlineLevel="0" collapsed="false">
      <c r="A550" s="38" t="n">
        <v>549</v>
      </c>
      <c r="B550" s="39" t="s">
        <v>1684</v>
      </c>
      <c r="C550" s="39" t="s">
        <v>1685</v>
      </c>
      <c r="D550" s="39" t="s">
        <v>47</v>
      </c>
      <c r="E550" s="40" t="b">
        <f aca="false">FALSE()</f>
        <v>0</v>
      </c>
      <c r="F550" s="38" t="s">
        <v>44</v>
      </c>
      <c r="G550" s="38" t="n">
        <v>549</v>
      </c>
      <c r="H550" s="39" t="s">
        <v>1686</v>
      </c>
      <c r="I550" s="39" t="s">
        <v>36</v>
      </c>
      <c r="J550" s="39" t="s">
        <v>37</v>
      </c>
      <c r="K550" s="41" t="n">
        <f aca="false">IF(E550=TRUE(),1,0)</f>
        <v>0</v>
      </c>
      <c r="L550" s="39"/>
    </row>
    <row r="551" customFormat="false" ht="15" hidden="false" customHeight="true" outlineLevel="0" collapsed="false">
      <c r="A551" s="43" t="n">
        <v>550</v>
      </c>
      <c r="B551" s="44" t="s">
        <v>1687</v>
      </c>
      <c r="C551" s="44" t="s">
        <v>1688</v>
      </c>
      <c r="D551" s="44" t="s">
        <v>37</v>
      </c>
      <c r="E551" s="45" t="b">
        <f aca="false">FALSE()</f>
        <v>0</v>
      </c>
      <c r="F551" s="43" t="s">
        <v>44</v>
      </c>
      <c r="G551" s="43" t="n">
        <v>550</v>
      </c>
      <c r="H551" s="44" t="s">
        <v>1689</v>
      </c>
      <c r="I551" s="44" t="s">
        <v>57</v>
      </c>
      <c r="J551" s="44" t="s">
        <v>47</v>
      </c>
      <c r="K551" s="46" t="n">
        <f aca="false">IF(E551=TRUE(),1,0)</f>
        <v>0</v>
      </c>
      <c r="L551" s="44"/>
    </row>
    <row r="552" customFormat="false" ht="15" hidden="false" customHeight="true" outlineLevel="0" collapsed="false">
      <c r="A552" s="38" t="n">
        <v>551</v>
      </c>
      <c r="B552" s="39" t="s">
        <v>1690</v>
      </c>
      <c r="C552" s="39" t="s">
        <v>1691</v>
      </c>
      <c r="D552" s="39" t="s">
        <v>47</v>
      </c>
      <c r="E552" s="40" t="b">
        <f aca="false">FALSE()</f>
        <v>0</v>
      </c>
      <c r="F552" s="38" t="s">
        <v>34</v>
      </c>
      <c r="G552" s="38" t="n">
        <v>551</v>
      </c>
      <c r="H552" s="39" t="s">
        <v>1692</v>
      </c>
      <c r="I552" s="39" t="s">
        <v>57</v>
      </c>
      <c r="J552" s="39" t="s">
        <v>37</v>
      </c>
      <c r="K552" s="41" t="n">
        <f aca="false">IF(E552=TRUE(),1,0)</f>
        <v>0</v>
      </c>
      <c r="L552" s="39"/>
    </row>
    <row r="553" customFormat="false" ht="15" hidden="false" customHeight="true" outlineLevel="0" collapsed="false">
      <c r="A553" s="43" t="n">
        <v>552</v>
      </c>
      <c r="B553" s="44" t="s">
        <v>1693</v>
      </c>
      <c r="C553" s="44" t="s">
        <v>1694</v>
      </c>
      <c r="D553" s="44" t="s">
        <v>37</v>
      </c>
      <c r="E553" s="45" t="b">
        <f aca="false">FALSE()</f>
        <v>0</v>
      </c>
      <c r="F553" s="43" t="s">
        <v>44</v>
      </c>
      <c r="G553" s="43" t="n">
        <v>552</v>
      </c>
      <c r="H553" s="44" t="s">
        <v>1695</v>
      </c>
      <c r="I553" s="44" t="s">
        <v>57</v>
      </c>
      <c r="J553" s="44" t="s">
        <v>47</v>
      </c>
      <c r="K553" s="46" t="n">
        <f aca="false">IF(E553=TRUE(),1,0)</f>
        <v>0</v>
      </c>
      <c r="L553" s="44"/>
    </row>
    <row r="554" customFormat="false" ht="15" hidden="false" customHeight="true" outlineLevel="0" collapsed="false">
      <c r="A554" s="38" t="n">
        <v>553</v>
      </c>
      <c r="B554" s="39" t="s">
        <v>1696</v>
      </c>
      <c r="C554" s="39" t="s">
        <v>1697</v>
      </c>
      <c r="D554" s="39" t="s">
        <v>37</v>
      </c>
      <c r="E554" s="40" t="b">
        <f aca="false">FALSE()</f>
        <v>0</v>
      </c>
      <c r="F554" s="38" t="s">
        <v>34</v>
      </c>
      <c r="G554" s="38" t="n">
        <v>553</v>
      </c>
      <c r="H554" s="39" t="s">
        <v>1698</v>
      </c>
      <c r="I554" s="39" t="s">
        <v>46</v>
      </c>
      <c r="J554" s="39" t="s">
        <v>47</v>
      </c>
      <c r="K554" s="41" t="n">
        <f aca="false">IF(E554=TRUE(),1,0)</f>
        <v>0</v>
      </c>
      <c r="L554" s="39"/>
    </row>
    <row r="555" customFormat="false" ht="15" hidden="false" customHeight="true" outlineLevel="0" collapsed="false">
      <c r="A555" s="43" t="n">
        <v>554</v>
      </c>
      <c r="B555" s="44" t="s">
        <v>1699</v>
      </c>
      <c r="C555" s="44" t="s">
        <v>1700</v>
      </c>
      <c r="D555" s="44" t="s">
        <v>33</v>
      </c>
      <c r="E555" s="45" t="b">
        <f aca="false">TRUE()</f>
        <v>1</v>
      </c>
      <c r="F555" s="43" t="s">
        <v>34</v>
      </c>
      <c r="G555" s="43" t="n">
        <v>554</v>
      </c>
      <c r="H555" s="44" t="s">
        <v>1701</v>
      </c>
      <c r="I555" s="44" t="s">
        <v>57</v>
      </c>
      <c r="J555" s="44" t="s">
        <v>37</v>
      </c>
      <c r="K555" s="46" t="n">
        <f aca="false">IF(E555=TRUE(),1,0)</f>
        <v>1</v>
      </c>
      <c r="L555" s="47" t="n">
        <v>46218.5299768519</v>
      </c>
    </row>
    <row r="556" customFormat="false" ht="15" hidden="false" customHeight="true" outlineLevel="0" collapsed="false">
      <c r="A556" s="38" t="n">
        <v>555</v>
      </c>
      <c r="B556" s="39" t="s">
        <v>1702</v>
      </c>
      <c r="C556" s="39" t="s">
        <v>1703</v>
      </c>
      <c r="D556" s="39" t="s">
        <v>37</v>
      </c>
      <c r="E556" s="40" t="b">
        <f aca="false">FALSE()</f>
        <v>0</v>
      </c>
      <c r="F556" s="38" t="s">
        <v>44</v>
      </c>
      <c r="G556" s="38" t="n">
        <v>555</v>
      </c>
      <c r="H556" s="39" t="s">
        <v>1704</v>
      </c>
      <c r="I556" s="39" t="s">
        <v>57</v>
      </c>
      <c r="J556" s="39" t="s">
        <v>33</v>
      </c>
      <c r="K556" s="41" t="n">
        <f aca="false">IF(E556=TRUE(),1,0)</f>
        <v>0</v>
      </c>
      <c r="L556" s="39"/>
    </row>
    <row r="557" customFormat="false" ht="15" hidden="false" customHeight="true" outlineLevel="0" collapsed="false">
      <c r="A557" s="43" t="n">
        <v>556</v>
      </c>
      <c r="B557" s="44" t="s">
        <v>1705</v>
      </c>
      <c r="C557" s="44" t="s">
        <v>1706</v>
      </c>
      <c r="D557" s="44" t="s">
        <v>37</v>
      </c>
      <c r="E557" s="45" t="b">
        <f aca="false">TRUE()</f>
        <v>1</v>
      </c>
      <c r="F557" s="43" t="s">
        <v>44</v>
      </c>
      <c r="G557" s="43" t="n">
        <v>556</v>
      </c>
      <c r="H557" s="44" t="s">
        <v>1707</v>
      </c>
      <c r="I557" s="44" t="s">
        <v>57</v>
      </c>
      <c r="J557" s="44" t="s">
        <v>33</v>
      </c>
      <c r="K557" s="46" t="n">
        <f aca="false">IF(E557=TRUE(),1,0)</f>
        <v>1</v>
      </c>
      <c r="L557" s="47" t="n">
        <v>46218.5303472222</v>
      </c>
    </row>
    <row r="558" customFormat="false" ht="15" hidden="false" customHeight="true" outlineLevel="0" collapsed="false">
      <c r="A558" s="38" t="n">
        <v>557</v>
      </c>
      <c r="B558" s="39" t="s">
        <v>1708</v>
      </c>
      <c r="C558" s="39" t="s">
        <v>1709</v>
      </c>
      <c r="D558" s="39" t="s">
        <v>37</v>
      </c>
      <c r="E558" s="40" t="b">
        <f aca="false">TRUE()</f>
        <v>1</v>
      </c>
      <c r="F558" s="38" t="s">
        <v>44</v>
      </c>
      <c r="G558" s="38" t="n">
        <v>557</v>
      </c>
      <c r="H558" s="39" t="s">
        <v>1710</v>
      </c>
      <c r="I558" s="39" t="s">
        <v>36</v>
      </c>
      <c r="J558" s="39" t="s">
        <v>37</v>
      </c>
      <c r="K558" s="41" t="n">
        <f aca="false">IF(E558=TRUE(),1,0)</f>
        <v>1</v>
      </c>
      <c r="L558" s="42" t="n">
        <v>46218.5309375</v>
      </c>
    </row>
    <row r="559" customFormat="false" ht="15" hidden="false" customHeight="true" outlineLevel="0" collapsed="false">
      <c r="A559" s="43" t="n">
        <v>558</v>
      </c>
      <c r="B559" s="44" t="s">
        <v>1711</v>
      </c>
      <c r="C559" s="44" t="s">
        <v>1712</v>
      </c>
      <c r="D559" s="44" t="s">
        <v>33</v>
      </c>
      <c r="E559" s="45" t="b">
        <f aca="false">TRUE()</f>
        <v>1</v>
      </c>
      <c r="F559" s="43" t="s">
        <v>40</v>
      </c>
      <c r="G559" s="43" t="n">
        <v>558</v>
      </c>
      <c r="H559" s="44" t="s">
        <v>1713</v>
      </c>
      <c r="I559" s="44" t="s">
        <v>36</v>
      </c>
      <c r="J559" s="44" t="s">
        <v>47</v>
      </c>
      <c r="K559" s="46" t="n">
        <f aca="false">IF(E559=TRUE(),1,0)</f>
        <v>1</v>
      </c>
      <c r="L559" s="47" t="n">
        <v>46218.5314814815</v>
      </c>
    </row>
    <row r="560" customFormat="false" ht="15" hidden="false" customHeight="true" outlineLevel="0" collapsed="false">
      <c r="A560" s="38" t="n">
        <v>559</v>
      </c>
      <c r="B560" s="39" t="s">
        <v>1714</v>
      </c>
      <c r="C560" s="39" t="s">
        <v>1715</v>
      </c>
      <c r="D560" s="39" t="s">
        <v>37</v>
      </c>
      <c r="E560" s="40" t="b">
        <f aca="false">FALSE()</f>
        <v>0</v>
      </c>
      <c r="F560" s="38" t="s">
        <v>40</v>
      </c>
      <c r="G560" s="38" t="n">
        <v>559</v>
      </c>
      <c r="H560" s="39" t="s">
        <v>1716</v>
      </c>
      <c r="I560" s="39" t="s">
        <v>36</v>
      </c>
      <c r="J560" s="39" t="s">
        <v>37</v>
      </c>
      <c r="K560" s="41" t="n">
        <f aca="false">IF(E560=TRUE(),1,0)</f>
        <v>0</v>
      </c>
      <c r="L560" s="39"/>
    </row>
    <row r="561" customFormat="false" ht="15" hidden="false" customHeight="true" outlineLevel="0" collapsed="false">
      <c r="A561" s="43" t="n">
        <v>560</v>
      </c>
      <c r="B561" s="44" t="s">
        <v>1717</v>
      </c>
      <c r="C561" s="44" t="s">
        <v>1718</v>
      </c>
      <c r="D561" s="44" t="s">
        <v>47</v>
      </c>
      <c r="E561" s="45" t="b">
        <f aca="false">TRUE()</f>
        <v>1</v>
      </c>
      <c r="F561" s="43" t="s">
        <v>44</v>
      </c>
      <c r="G561" s="43" t="n">
        <v>560</v>
      </c>
      <c r="H561" s="44" t="s">
        <v>1719</v>
      </c>
      <c r="I561" s="44" t="s">
        <v>57</v>
      </c>
      <c r="J561" s="44" t="s">
        <v>33</v>
      </c>
      <c r="K561" s="46" t="n">
        <f aca="false">IF(E561=TRUE(),1,0)</f>
        <v>1</v>
      </c>
      <c r="L561" s="47" t="n">
        <v>46218.5316319445</v>
      </c>
    </row>
    <row r="562" customFormat="false" ht="15" hidden="false" customHeight="true" outlineLevel="0" collapsed="false">
      <c r="A562" s="38" t="n">
        <v>561</v>
      </c>
      <c r="B562" s="39" t="s">
        <v>1720</v>
      </c>
      <c r="C562" s="39" t="s">
        <v>1721</v>
      </c>
      <c r="D562" s="39" t="s">
        <v>33</v>
      </c>
      <c r="E562" s="40" t="b">
        <f aca="false">FALSE()</f>
        <v>0</v>
      </c>
      <c r="F562" s="38" t="s">
        <v>44</v>
      </c>
      <c r="G562" s="38" t="n">
        <v>561</v>
      </c>
      <c r="H562" s="39" t="s">
        <v>1722</v>
      </c>
      <c r="I562" s="39" t="s">
        <v>46</v>
      </c>
      <c r="J562" s="39" t="s">
        <v>33</v>
      </c>
      <c r="K562" s="41" t="n">
        <f aca="false">IF(E562=TRUE(),1,0)</f>
        <v>0</v>
      </c>
      <c r="L562" s="39"/>
    </row>
    <row r="563" customFormat="false" ht="15" hidden="false" customHeight="true" outlineLevel="0" collapsed="false">
      <c r="A563" s="43" t="n">
        <v>562</v>
      </c>
      <c r="B563" s="44" t="s">
        <v>1723</v>
      </c>
      <c r="C563" s="44" t="s">
        <v>1724</v>
      </c>
      <c r="D563" s="44" t="s">
        <v>37</v>
      </c>
      <c r="E563" s="45" t="b">
        <f aca="false">FALSE()</f>
        <v>0</v>
      </c>
      <c r="F563" s="43" t="s">
        <v>34</v>
      </c>
      <c r="G563" s="43" t="n">
        <v>562</v>
      </c>
      <c r="H563" s="44" t="s">
        <v>1725</v>
      </c>
      <c r="I563" s="44" t="s">
        <v>57</v>
      </c>
      <c r="J563" s="44" t="s">
        <v>47</v>
      </c>
      <c r="K563" s="46" t="n">
        <f aca="false">IF(E563=TRUE(),1,0)</f>
        <v>0</v>
      </c>
      <c r="L563" s="44"/>
    </row>
    <row r="564" customFormat="false" ht="15" hidden="false" customHeight="true" outlineLevel="0" collapsed="false">
      <c r="A564" s="38" t="n">
        <v>563</v>
      </c>
      <c r="B564" s="39" t="s">
        <v>1726</v>
      </c>
      <c r="C564" s="39" t="s">
        <v>1727</v>
      </c>
      <c r="D564" s="39" t="s">
        <v>47</v>
      </c>
      <c r="E564" s="40" t="b">
        <f aca="false">TRUE()</f>
        <v>1</v>
      </c>
      <c r="F564" s="38" t="s">
        <v>44</v>
      </c>
      <c r="G564" s="38" t="n">
        <v>563</v>
      </c>
      <c r="H564" s="39" t="s">
        <v>1728</v>
      </c>
      <c r="I564" s="39" t="s">
        <v>57</v>
      </c>
      <c r="J564" s="39" t="s">
        <v>33</v>
      </c>
      <c r="K564" s="41" t="n">
        <f aca="false">IF(E564=TRUE(),1,0)</f>
        <v>1</v>
      </c>
      <c r="L564" s="42" t="n">
        <v>46218.536087963</v>
      </c>
    </row>
    <row r="565" customFormat="false" ht="15" hidden="false" customHeight="true" outlineLevel="0" collapsed="false">
      <c r="A565" s="43" t="n">
        <v>564</v>
      </c>
      <c r="B565" s="44" t="s">
        <v>1729</v>
      </c>
      <c r="C565" s="44" t="s">
        <v>1730</v>
      </c>
      <c r="D565" s="44" t="s">
        <v>47</v>
      </c>
      <c r="E565" s="45" t="b">
        <f aca="false">TRUE()</f>
        <v>1</v>
      </c>
      <c r="F565" s="43" t="s">
        <v>34</v>
      </c>
      <c r="G565" s="43" t="n">
        <v>564</v>
      </c>
      <c r="H565" s="44" t="s">
        <v>1731</v>
      </c>
      <c r="I565" s="44" t="s">
        <v>57</v>
      </c>
      <c r="J565" s="44" t="s">
        <v>33</v>
      </c>
      <c r="K565" s="46" t="n">
        <f aca="false">IF(E565=TRUE(),1,0)</f>
        <v>1</v>
      </c>
      <c r="L565" s="47" t="n">
        <v>46218.5375347222</v>
      </c>
    </row>
    <row r="566" customFormat="false" ht="15" hidden="false" customHeight="true" outlineLevel="0" collapsed="false">
      <c r="A566" s="38" t="n">
        <v>565</v>
      </c>
      <c r="B566" s="39" t="s">
        <v>1732</v>
      </c>
      <c r="C566" s="39" t="s">
        <v>1733</v>
      </c>
      <c r="D566" s="39" t="s">
        <v>37</v>
      </c>
      <c r="E566" s="40" t="b">
        <f aca="false">FALSE()</f>
        <v>0</v>
      </c>
      <c r="F566" s="38" t="s">
        <v>40</v>
      </c>
      <c r="G566" s="38" t="n">
        <v>565</v>
      </c>
      <c r="H566" s="39" t="s">
        <v>1734</v>
      </c>
      <c r="I566" s="39" t="s">
        <v>36</v>
      </c>
      <c r="J566" s="39" t="s">
        <v>33</v>
      </c>
      <c r="K566" s="41" t="n">
        <f aca="false">IF(E566=TRUE(),1,0)</f>
        <v>0</v>
      </c>
      <c r="L566" s="39"/>
    </row>
    <row r="567" customFormat="false" ht="15" hidden="false" customHeight="true" outlineLevel="0" collapsed="false">
      <c r="A567" s="43" t="n">
        <v>566</v>
      </c>
      <c r="B567" s="44" t="s">
        <v>1735</v>
      </c>
      <c r="C567" s="44" t="s">
        <v>1736</v>
      </c>
      <c r="D567" s="44" t="s">
        <v>33</v>
      </c>
      <c r="E567" s="45" t="b">
        <f aca="false">TRUE()</f>
        <v>1</v>
      </c>
      <c r="F567" s="43" t="s">
        <v>44</v>
      </c>
      <c r="G567" s="43" t="n">
        <v>566</v>
      </c>
      <c r="H567" s="44" t="s">
        <v>1737</v>
      </c>
      <c r="I567" s="44" t="s">
        <v>46</v>
      </c>
      <c r="J567" s="44" t="s">
        <v>37</v>
      </c>
      <c r="K567" s="46" t="n">
        <f aca="false">IF(E567=TRUE(),1,0)</f>
        <v>1</v>
      </c>
      <c r="L567" s="47" t="n">
        <v>46218.5376388889</v>
      </c>
    </row>
    <row r="568" customFormat="false" ht="15" hidden="false" customHeight="true" outlineLevel="0" collapsed="false">
      <c r="A568" s="38" t="n">
        <v>567</v>
      </c>
      <c r="B568" s="39" t="s">
        <v>1738</v>
      </c>
      <c r="C568" s="39" t="s">
        <v>1739</v>
      </c>
      <c r="D568" s="39" t="s">
        <v>37</v>
      </c>
      <c r="E568" s="40" t="b">
        <f aca="false">TRUE()</f>
        <v>1</v>
      </c>
      <c r="F568" s="38" t="s">
        <v>34</v>
      </c>
      <c r="G568" s="38" t="n">
        <v>567</v>
      </c>
      <c r="H568" s="39" t="s">
        <v>1740</v>
      </c>
      <c r="I568" s="39" t="s">
        <v>46</v>
      </c>
      <c r="J568" s="39" t="s">
        <v>37</v>
      </c>
      <c r="K568" s="41" t="n">
        <f aca="false">IF(E568=TRUE(),1,0)</f>
        <v>1</v>
      </c>
      <c r="L568" s="42" t="n">
        <v>46218.5390740741</v>
      </c>
    </row>
    <row r="569" customFormat="false" ht="15" hidden="false" customHeight="true" outlineLevel="0" collapsed="false">
      <c r="A569" s="43" t="n">
        <v>568</v>
      </c>
      <c r="B569" s="44" t="s">
        <v>1741</v>
      </c>
      <c r="C569" s="44" t="s">
        <v>1742</v>
      </c>
      <c r="D569" s="44" t="s">
        <v>33</v>
      </c>
      <c r="E569" s="45" t="b">
        <f aca="false">TRUE()</f>
        <v>1</v>
      </c>
      <c r="F569" s="43" t="s">
        <v>34</v>
      </c>
      <c r="G569" s="43" t="n">
        <v>568</v>
      </c>
      <c r="H569" s="44" t="s">
        <v>1743</v>
      </c>
      <c r="I569" s="44" t="s">
        <v>46</v>
      </c>
      <c r="J569" s="44" t="s">
        <v>33</v>
      </c>
      <c r="K569" s="46" t="n">
        <f aca="false">IF(E569=TRUE(),1,0)</f>
        <v>1</v>
      </c>
      <c r="L569" s="47" t="n">
        <v>46218.5406481482</v>
      </c>
    </row>
    <row r="570" customFormat="false" ht="15" hidden="false" customHeight="true" outlineLevel="0" collapsed="false">
      <c r="A570" s="38" t="n">
        <v>569</v>
      </c>
      <c r="B570" s="39" t="s">
        <v>1744</v>
      </c>
      <c r="C570" s="39" t="s">
        <v>1745</v>
      </c>
      <c r="D570" s="39" t="s">
        <v>47</v>
      </c>
      <c r="E570" s="40" t="b">
        <f aca="false">TRUE()</f>
        <v>1</v>
      </c>
      <c r="F570" s="38" t="s">
        <v>44</v>
      </c>
      <c r="G570" s="38" t="n">
        <v>569</v>
      </c>
      <c r="H570" s="39" t="s">
        <v>1746</v>
      </c>
      <c r="I570" s="39" t="s">
        <v>36</v>
      </c>
      <c r="J570" s="39" t="s">
        <v>37</v>
      </c>
      <c r="K570" s="41" t="n">
        <f aca="false">IF(E570=TRUE(),1,0)</f>
        <v>1</v>
      </c>
      <c r="L570" s="42" t="n">
        <v>46218.5421180556</v>
      </c>
    </row>
    <row r="571" customFormat="false" ht="15" hidden="false" customHeight="true" outlineLevel="0" collapsed="false">
      <c r="A571" s="43" t="n">
        <v>570</v>
      </c>
      <c r="B571" s="44" t="s">
        <v>1747</v>
      </c>
      <c r="C571" s="44" t="s">
        <v>1748</v>
      </c>
      <c r="D571" s="44" t="s">
        <v>33</v>
      </c>
      <c r="E571" s="45" t="b">
        <f aca="false">FALSE()</f>
        <v>0</v>
      </c>
      <c r="F571" s="43" t="s">
        <v>40</v>
      </c>
      <c r="G571" s="43" t="n">
        <v>570</v>
      </c>
      <c r="H571" s="44" t="s">
        <v>1749</v>
      </c>
      <c r="I571" s="44" t="s">
        <v>36</v>
      </c>
      <c r="J571" s="44" t="s">
        <v>47</v>
      </c>
      <c r="K571" s="46" t="n">
        <f aca="false">IF(E571=TRUE(),1,0)</f>
        <v>0</v>
      </c>
      <c r="L571" s="44"/>
    </row>
    <row r="572" customFormat="false" ht="15" hidden="false" customHeight="true" outlineLevel="0" collapsed="false">
      <c r="A572" s="38" t="n">
        <v>571</v>
      </c>
      <c r="B572" s="39" t="s">
        <v>1750</v>
      </c>
      <c r="C572" s="39" t="s">
        <v>1751</v>
      </c>
      <c r="D572" s="39" t="s">
        <v>37</v>
      </c>
      <c r="E572" s="40" t="b">
        <f aca="false">TRUE()</f>
        <v>1</v>
      </c>
      <c r="F572" s="38" t="s">
        <v>34</v>
      </c>
      <c r="G572" s="38" t="n">
        <v>571</v>
      </c>
      <c r="H572" s="39" t="s">
        <v>1752</v>
      </c>
      <c r="I572" s="39" t="s">
        <v>46</v>
      </c>
      <c r="J572" s="39" t="s">
        <v>33</v>
      </c>
      <c r="K572" s="41" t="n">
        <f aca="false">IF(E572=TRUE(),1,0)</f>
        <v>1</v>
      </c>
      <c r="L572" s="42" t="n">
        <v>46218.5422916667</v>
      </c>
    </row>
    <row r="573" customFormat="false" ht="15" hidden="false" customHeight="true" outlineLevel="0" collapsed="false">
      <c r="A573" s="43" t="n">
        <v>572</v>
      </c>
      <c r="B573" s="44" t="s">
        <v>1753</v>
      </c>
      <c r="C573" s="44" t="s">
        <v>1754</v>
      </c>
      <c r="D573" s="44" t="s">
        <v>47</v>
      </c>
      <c r="E573" s="45" t="b">
        <f aca="false">TRUE()</f>
        <v>1</v>
      </c>
      <c r="F573" s="43" t="s">
        <v>40</v>
      </c>
      <c r="G573" s="43" t="n">
        <v>572</v>
      </c>
      <c r="H573" s="44" t="s">
        <v>1755</v>
      </c>
      <c r="I573" s="44" t="s">
        <v>46</v>
      </c>
      <c r="J573" s="44" t="s">
        <v>37</v>
      </c>
      <c r="K573" s="46" t="n">
        <f aca="false">IF(E573=TRUE(),1,0)</f>
        <v>1</v>
      </c>
      <c r="L573" s="47" t="n">
        <v>46218.5428472222</v>
      </c>
    </row>
    <row r="574" customFormat="false" ht="15" hidden="false" customHeight="true" outlineLevel="0" collapsed="false">
      <c r="A574" s="38" t="n">
        <v>573</v>
      </c>
      <c r="B574" s="39" t="s">
        <v>1756</v>
      </c>
      <c r="C574" s="39" t="s">
        <v>1757</v>
      </c>
      <c r="D574" s="39" t="s">
        <v>33</v>
      </c>
      <c r="E574" s="40" t="b">
        <f aca="false">TRUE()</f>
        <v>1</v>
      </c>
      <c r="F574" s="38" t="s">
        <v>34</v>
      </c>
      <c r="G574" s="38" t="n">
        <v>573</v>
      </c>
      <c r="H574" s="39" t="s">
        <v>1758</v>
      </c>
      <c r="I574" s="39" t="s">
        <v>57</v>
      </c>
      <c r="J574" s="39" t="s">
        <v>33</v>
      </c>
      <c r="K574" s="41" t="n">
        <f aca="false">IF(E574=TRUE(),1,0)</f>
        <v>1</v>
      </c>
      <c r="L574" s="42" t="n">
        <v>46218.5436342593</v>
      </c>
    </row>
    <row r="575" customFormat="false" ht="15" hidden="false" customHeight="true" outlineLevel="0" collapsed="false">
      <c r="A575" s="43" t="n">
        <v>574</v>
      </c>
      <c r="B575" s="44" t="s">
        <v>1759</v>
      </c>
      <c r="C575" s="44" t="s">
        <v>1760</v>
      </c>
      <c r="D575" s="44" t="s">
        <v>37</v>
      </c>
      <c r="E575" s="45" t="b">
        <f aca="false">TRUE()</f>
        <v>1</v>
      </c>
      <c r="F575" s="43" t="s">
        <v>44</v>
      </c>
      <c r="G575" s="43" t="n">
        <v>574</v>
      </c>
      <c r="H575" s="44" t="s">
        <v>1761</v>
      </c>
      <c r="I575" s="44" t="s">
        <v>57</v>
      </c>
      <c r="J575" s="44" t="s">
        <v>47</v>
      </c>
      <c r="K575" s="46" t="n">
        <f aca="false">IF(E575=TRUE(),1,0)</f>
        <v>1</v>
      </c>
      <c r="L575" s="47" t="n">
        <v>46218.5446643519</v>
      </c>
    </row>
    <row r="576" customFormat="false" ht="15" hidden="false" customHeight="true" outlineLevel="0" collapsed="false">
      <c r="A576" s="38" t="n">
        <v>575</v>
      </c>
      <c r="B576" s="39" t="s">
        <v>1762</v>
      </c>
      <c r="C576" s="39" t="s">
        <v>1763</v>
      </c>
      <c r="D576" s="39" t="s">
        <v>37</v>
      </c>
      <c r="E576" s="40" t="b">
        <f aca="false">FALSE()</f>
        <v>0</v>
      </c>
      <c r="F576" s="38" t="s">
        <v>34</v>
      </c>
      <c r="G576" s="38" t="n">
        <v>575</v>
      </c>
      <c r="H576" s="39" t="s">
        <v>1764</v>
      </c>
      <c r="I576" s="39" t="s">
        <v>46</v>
      </c>
      <c r="J576" s="39" t="s">
        <v>37</v>
      </c>
      <c r="K576" s="41" t="n">
        <f aca="false">IF(E576=TRUE(),1,0)</f>
        <v>0</v>
      </c>
      <c r="L576" s="39"/>
    </row>
    <row r="577" customFormat="false" ht="15" hidden="false" customHeight="true" outlineLevel="0" collapsed="false">
      <c r="A577" s="43" t="n">
        <v>576</v>
      </c>
      <c r="B577" s="44" t="s">
        <v>1765</v>
      </c>
      <c r="C577" s="44" t="s">
        <v>1766</v>
      </c>
      <c r="D577" s="44" t="s">
        <v>37</v>
      </c>
      <c r="E577" s="45" t="b">
        <f aca="false">TRUE()</f>
        <v>1</v>
      </c>
      <c r="F577" s="43" t="s">
        <v>44</v>
      </c>
      <c r="G577" s="43" t="n">
        <v>576</v>
      </c>
      <c r="H577" s="44" t="s">
        <v>1767</v>
      </c>
      <c r="I577" s="44" t="s">
        <v>36</v>
      </c>
      <c r="J577" s="44" t="s">
        <v>33</v>
      </c>
      <c r="K577" s="46" t="n">
        <f aca="false">IF(E577=TRUE(),1,0)</f>
        <v>1</v>
      </c>
      <c r="L577" s="47" t="n">
        <v>46218.5469791667</v>
      </c>
    </row>
    <row r="578" customFormat="false" ht="15" hidden="false" customHeight="true" outlineLevel="0" collapsed="false">
      <c r="A578" s="38" t="n">
        <v>577</v>
      </c>
      <c r="B578" s="39" t="s">
        <v>1768</v>
      </c>
      <c r="C578" s="39" t="s">
        <v>1769</v>
      </c>
      <c r="D578" s="39" t="s">
        <v>33</v>
      </c>
      <c r="E578" s="40" t="b">
        <f aca="false">FALSE()</f>
        <v>0</v>
      </c>
      <c r="F578" s="38" t="s">
        <v>34</v>
      </c>
      <c r="G578" s="38" t="n">
        <v>577</v>
      </c>
      <c r="H578" s="39" t="s">
        <v>1770</v>
      </c>
      <c r="I578" s="39" t="s">
        <v>57</v>
      </c>
      <c r="J578" s="39" t="s">
        <v>33</v>
      </c>
      <c r="K578" s="41" t="n">
        <f aca="false">IF(E578=TRUE(),1,0)</f>
        <v>0</v>
      </c>
      <c r="L578" s="39"/>
    </row>
    <row r="579" customFormat="false" ht="15" hidden="false" customHeight="true" outlineLevel="0" collapsed="false">
      <c r="A579" s="43" t="n">
        <v>578</v>
      </c>
      <c r="B579" s="44" t="s">
        <v>1771</v>
      </c>
      <c r="C579" s="44" t="s">
        <v>1772</v>
      </c>
      <c r="D579" s="44" t="s">
        <v>47</v>
      </c>
      <c r="E579" s="45" t="b">
        <f aca="false">FALSE()</f>
        <v>0</v>
      </c>
      <c r="F579" s="43" t="s">
        <v>34</v>
      </c>
      <c r="G579" s="43" t="n">
        <v>578</v>
      </c>
      <c r="H579" s="44" t="s">
        <v>1773</v>
      </c>
      <c r="I579" s="44" t="s">
        <v>46</v>
      </c>
      <c r="J579" s="44" t="s">
        <v>37</v>
      </c>
      <c r="K579" s="46" t="n">
        <f aca="false">IF(E579=TRUE(),1,0)</f>
        <v>0</v>
      </c>
      <c r="L579" s="44"/>
    </row>
    <row r="580" customFormat="false" ht="15" hidden="false" customHeight="true" outlineLevel="0" collapsed="false">
      <c r="A580" s="38" t="n">
        <v>579</v>
      </c>
      <c r="B580" s="39" t="s">
        <v>1774</v>
      </c>
      <c r="C580" s="39" t="s">
        <v>1775</v>
      </c>
      <c r="D580" s="39" t="s">
        <v>37</v>
      </c>
      <c r="E580" s="40" t="b">
        <f aca="false">TRUE()</f>
        <v>1</v>
      </c>
      <c r="F580" s="38" t="s">
        <v>44</v>
      </c>
      <c r="G580" s="38" t="n">
        <v>579</v>
      </c>
      <c r="H580" s="39" t="s">
        <v>1776</v>
      </c>
      <c r="I580" s="39" t="s">
        <v>46</v>
      </c>
      <c r="J580" s="39" t="s">
        <v>33</v>
      </c>
      <c r="K580" s="41" t="n">
        <f aca="false">IF(E580=TRUE(),1,0)</f>
        <v>1</v>
      </c>
      <c r="L580" s="42" t="n">
        <v>46218.5481018519</v>
      </c>
    </row>
    <row r="581" customFormat="false" ht="15" hidden="false" customHeight="true" outlineLevel="0" collapsed="false">
      <c r="A581" s="43" t="n">
        <v>580</v>
      </c>
      <c r="B581" s="44" t="s">
        <v>1777</v>
      </c>
      <c r="C581" s="44" t="s">
        <v>1778</v>
      </c>
      <c r="D581" s="44" t="s">
        <v>47</v>
      </c>
      <c r="E581" s="45" t="b">
        <f aca="false">TRUE()</f>
        <v>1</v>
      </c>
      <c r="F581" s="43" t="s">
        <v>40</v>
      </c>
      <c r="G581" s="43" t="n">
        <v>580</v>
      </c>
      <c r="H581" s="44" t="s">
        <v>1779</v>
      </c>
      <c r="I581" s="44" t="s">
        <v>57</v>
      </c>
      <c r="J581" s="44" t="s">
        <v>37</v>
      </c>
      <c r="K581" s="46" t="n">
        <f aca="false">IF(E581=TRUE(),1,0)</f>
        <v>1</v>
      </c>
      <c r="L581" s="47" t="n">
        <v>46218.5490277778</v>
      </c>
    </row>
    <row r="582" customFormat="false" ht="15" hidden="false" customHeight="true" outlineLevel="0" collapsed="false">
      <c r="A582" s="38" t="n">
        <v>581</v>
      </c>
      <c r="B582" s="39" t="s">
        <v>1780</v>
      </c>
      <c r="C582" s="39" t="s">
        <v>1781</v>
      </c>
      <c r="D582" s="39" t="s">
        <v>33</v>
      </c>
      <c r="E582" s="40" t="b">
        <f aca="false">FALSE()</f>
        <v>0</v>
      </c>
      <c r="F582" s="38" t="s">
        <v>40</v>
      </c>
      <c r="G582" s="38" t="n">
        <v>581</v>
      </c>
      <c r="H582" s="39" t="s">
        <v>1782</v>
      </c>
      <c r="I582" s="39" t="s">
        <v>57</v>
      </c>
      <c r="J582" s="39" t="s">
        <v>33</v>
      </c>
      <c r="K582" s="41" t="n">
        <f aca="false">IF(E582=TRUE(),1,0)</f>
        <v>0</v>
      </c>
      <c r="L582" s="39"/>
    </row>
    <row r="583" customFormat="false" ht="15" hidden="false" customHeight="true" outlineLevel="0" collapsed="false">
      <c r="A583" s="43" t="n">
        <v>582</v>
      </c>
      <c r="B583" s="44" t="s">
        <v>1783</v>
      </c>
      <c r="C583" s="44" t="s">
        <v>1784</v>
      </c>
      <c r="D583" s="44" t="s">
        <v>47</v>
      </c>
      <c r="E583" s="45" t="b">
        <f aca="false">FALSE()</f>
        <v>0</v>
      </c>
      <c r="F583" s="43" t="s">
        <v>34</v>
      </c>
      <c r="G583" s="43" t="n">
        <v>582</v>
      </c>
      <c r="H583" s="44" t="s">
        <v>1785</v>
      </c>
      <c r="I583" s="44" t="s">
        <v>46</v>
      </c>
      <c r="J583" s="44" t="s">
        <v>37</v>
      </c>
      <c r="K583" s="46" t="n">
        <f aca="false">IF(E583=TRUE(),1,0)</f>
        <v>0</v>
      </c>
      <c r="L583" s="44"/>
    </row>
    <row r="584" customFormat="false" ht="15" hidden="false" customHeight="true" outlineLevel="0" collapsed="false">
      <c r="A584" s="38" t="n">
        <v>583</v>
      </c>
      <c r="B584" s="39" t="s">
        <v>1786</v>
      </c>
      <c r="C584" s="39" t="s">
        <v>1787</v>
      </c>
      <c r="D584" s="39" t="s">
        <v>33</v>
      </c>
      <c r="E584" s="40" t="b">
        <f aca="false">FALSE()</f>
        <v>0</v>
      </c>
      <c r="F584" s="38" t="s">
        <v>34</v>
      </c>
      <c r="G584" s="38" t="n">
        <v>583</v>
      </c>
      <c r="H584" s="39" t="s">
        <v>1788</v>
      </c>
      <c r="I584" s="39" t="s">
        <v>46</v>
      </c>
      <c r="J584" s="39" t="s">
        <v>47</v>
      </c>
      <c r="K584" s="41" t="n">
        <f aca="false">IF(E584=TRUE(),1,0)</f>
        <v>0</v>
      </c>
      <c r="L584" s="39"/>
    </row>
    <row r="585" customFormat="false" ht="15" hidden="false" customHeight="true" outlineLevel="0" collapsed="false">
      <c r="A585" s="43" t="n">
        <v>584</v>
      </c>
      <c r="B585" s="44" t="s">
        <v>1789</v>
      </c>
      <c r="C585" s="44" t="s">
        <v>1790</v>
      </c>
      <c r="D585" s="44" t="s">
        <v>33</v>
      </c>
      <c r="E585" s="45" t="b">
        <f aca="false">FALSE()</f>
        <v>0</v>
      </c>
      <c r="F585" s="43" t="s">
        <v>40</v>
      </c>
      <c r="G585" s="43" t="n">
        <v>584</v>
      </c>
      <c r="H585" s="44" t="s">
        <v>1791</v>
      </c>
      <c r="I585" s="44" t="s">
        <v>36</v>
      </c>
      <c r="J585" s="44" t="s">
        <v>37</v>
      </c>
      <c r="K585" s="46" t="n">
        <f aca="false">IF(E585=TRUE(),1,0)</f>
        <v>0</v>
      </c>
      <c r="L585" s="44"/>
    </row>
    <row r="586" customFormat="false" ht="15" hidden="false" customHeight="true" outlineLevel="0" collapsed="false">
      <c r="A586" s="38" t="n">
        <v>585</v>
      </c>
      <c r="B586" s="39" t="s">
        <v>1792</v>
      </c>
      <c r="C586" s="39" t="s">
        <v>1793</v>
      </c>
      <c r="D586" s="39" t="s">
        <v>33</v>
      </c>
      <c r="E586" s="40" t="b">
        <f aca="false">FALSE()</f>
        <v>0</v>
      </c>
      <c r="F586" s="38" t="s">
        <v>34</v>
      </c>
      <c r="G586" s="38" t="n">
        <v>585</v>
      </c>
      <c r="H586" s="39" t="s">
        <v>1794</v>
      </c>
      <c r="I586" s="39" t="s">
        <v>36</v>
      </c>
      <c r="J586" s="39" t="s">
        <v>37</v>
      </c>
      <c r="K586" s="41" t="n">
        <f aca="false">IF(E586=TRUE(),1,0)</f>
        <v>0</v>
      </c>
      <c r="L586" s="39"/>
    </row>
    <row r="587" customFormat="false" ht="15" hidden="false" customHeight="true" outlineLevel="0" collapsed="false">
      <c r="A587" s="43" t="n">
        <v>586</v>
      </c>
      <c r="B587" s="44" t="s">
        <v>1795</v>
      </c>
      <c r="C587" s="44" t="s">
        <v>1796</v>
      </c>
      <c r="D587" s="44" t="s">
        <v>37</v>
      </c>
      <c r="E587" s="45" t="b">
        <f aca="false">TRUE()</f>
        <v>1</v>
      </c>
      <c r="F587" s="43" t="s">
        <v>44</v>
      </c>
      <c r="G587" s="43" t="n">
        <v>586</v>
      </c>
      <c r="H587" s="44" t="s">
        <v>1797</v>
      </c>
      <c r="I587" s="44" t="s">
        <v>46</v>
      </c>
      <c r="J587" s="44" t="s">
        <v>33</v>
      </c>
      <c r="K587" s="46" t="n">
        <f aca="false">IF(E587=TRUE(),1,0)</f>
        <v>1</v>
      </c>
      <c r="L587" s="47" t="n">
        <v>46218.5496875</v>
      </c>
    </row>
    <row r="588" customFormat="false" ht="15" hidden="false" customHeight="true" outlineLevel="0" collapsed="false">
      <c r="A588" s="38" t="n">
        <v>587</v>
      </c>
      <c r="B588" s="39" t="s">
        <v>1798</v>
      </c>
      <c r="C588" s="39" t="s">
        <v>1799</v>
      </c>
      <c r="D588" s="39" t="s">
        <v>37</v>
      </c>
      <c r="E588" s="40" t="b">
        <f aca="false">FALSE()</f>
        <v>0</v>
      </c>
      <c r="F588" s="38" t="s">
        <v>44</v>
      </c>
      <c r="G588" s="38" t="n">
        <v>587</v>
      </c>
      <c r="H588" s="39" t="s">
        <v>1800</v>
      </c>
      <c r="I588" s="39" t="s">
        <v>46</v>
      </c>
      <c r="J588" s="39" t="s">
        <v>47</v>
      </c>
      <c r="K588" s="41" t="n">
        <f aca="false">IF(E588=TRUE(),1,0)</f>
        <v>0</v>
      </c>
      <c r="L588" s="39"/>
    </row>
    <row r="589" customFormat="false" ht="15" hidden="false" customHeight="true" outlineLevel="0" collapsed="false">
      <c r="A589" s="43" t="n">
        <v>588</v>
      </c>
      <c r="B589" s="44" t="s">
        <v>1801</v>
      </c>
      <c r="C589" s="44" t="s">
        <v>1802</v>
      </c>
      <c r="D589" s="44" t="s">
        <v>37</v>
      </c>
      <c r="E589" s="45" t="b">
        <f aca="false">TRUE()</f>
        <v>1</v>
      </c>
      <c r="F589" s="43" t="s">
        <v>34</v>
      </c>
      <c r="G589" s="43" t="n">
        <v>588</v>
      </c>
      <c r="H589" s="44" t="s">
        <v>1803</v>
      </c>
      <c r="I589" s="44" t="s">
        <v>46</v>
      </c>
      <c r="J589" s="44" t="s">
        <v>33</v>
      </c>
      <c r="K589" s="46" t="n">
        <f aca="false">IF(E589=TRUE(),1,0)</f>
        <v>1</v>
      </c>
      <c r="L589" s="47" t="n">
        <v>46218.5497453704</v>
      </c>
    </row>
    <row r="590" customFormat="false" ht="15" hidden="false" customHeight="true" outlineLevel="0" collapsed="false">
      <c r="A590" s="38" t="n">
        <v>589</v>
      </c>
      <c r="B590" s="39" t="s">
        <v>1804</v>
      </c>
      <c r="C590" s="39" t="s">
        <v>1805</v>
      </c>
      <c r="D590" s="39" t="s">
        <v>37</v>
      </c>
      <c r="E590" s="40" t="b">
        <f aca="false">FALSE()</f>
        <v>0</v>
      </c>
      <c r="F590" s="38" t="s">
        <v>44</v>
      </c>
      <c r="G590" s="38" t="n">
        <v>589</v>
      </c>
      <c r="H590" s="39" t="s">
        <v>1806</v>
      </c>
      <c r="I590" s="39" t="s">
        <v>46</v>
      </c>
      <c r="J590" s="39" t="s">
        <v>33</v>
      </c>
      <c r="K590" s="41" t="n">
        <f aca="false">IF(E590=TRUE(),1,0)</f>
        <v>0</v>
      </c>
      <c r="L590" s="39"/>
    </row>
    <row r="591" customFormat="false" ht="15" hidden="false" customHeight="true" outlineLevel="0" collapsed="false">
      <c r="A591" s="43" t="n">
        <v>590</v>
      </c>
      <c r="B591" s="44" t="s">
        <v>1807</v>
      </c>
      <c r="C591" s="44" t="s">
        <v>1808</v>
      </c>
      <c r="D591" s="44" t="s">
        <v>37</v>
      </c>
      <c r="E591" s="45" t="b">
        <f aca="false">TRUE()</f>
        <v>1</v>
      </c>
      <c r="F591" s="43" t="s">
        <v>34</v>
      </c>
      <c r="G591" s="43" t="n">
        <v>590</v>
      </c>
      <c r="H591" s="44" t="s">
        <v>1809</v>
      </c>
      <c r="I591" s="44" t="s">
        <v>36</v>
      </c>
      <c r="J591" s="44" t="s">
        <v>37</v>
      </c>
      <c r="K591" s="46" t="n">
        <f aca="false">IF(E591=TRUE(),1,0)</f>
        <v>1</v>
      </c>
      <c r="L591" s="47" t="n">
        <v>46218.5517476852</v>
      </c>
    </row>
    <row r="592" customFormat="false" ht="15" hidden="false" customHeight="true" outlineLevel="0" collapsed="false">
      <c r="A592" s="38" t="n">
        <v>591</v>
      </c>
      <c r="B592" s="39" t="s">
        <v>1810</v>
      </c>
      <c r="C592" s="39" t="s">
        <v>1811</v>
      </c>
      <c r="D592" s="39" t="s">
        <v>37</v>
      </c>
      <c r="E592" s="40" t="b">
        <f aca="false">FALSE()</f>
        <v>0</v>
      </c>
      <c r="F592" s="38" t="s">
        <v>34</v>
      </c>
      <c r="G592" s="38" t="n">
        <v>591</v>
      </c>
      <c r="H592" s="39" t="s">
        <v>1812</v>
      </c>
      <c r="I592" s="39" t="s">
        <v>36</v>
      </c>
      <c r="J592" s="39" t="s">
        <v>33</v>
      </c>
      <c r="K592" s="41" t="n">
        <f aca="false">IF(E592=TRUE(),1,0)</f>
        <v>0</v>
      </c>
      <c r="L592" s="39"/>
    </row>
    <row r="593" customFormat="false" ht="15" hidden="false" customHeight="true" outlineLevel="0" collapsed="false">
      <c r="A593" s="43" t="n">
        <v>592</v>
      </c>
      <c r="B593" s="44" t="s">
        <v>1813</v>
      </c>
      <c r="C593" s="44" t="s">
        <v>1814</v>
      </c>
      <c r="D593" s="44" t="s">
        <v>33</v>
      </c>
      <c r="E593" s="45" t="b">
        <f aca="false">FALSE()</f>
        <v>0</v>
      </c>
      <c r="F593" s="43" t="s">
        <v>44</v>
      </c>
      <c r="G593" s="43" t="n">
        <v>592</v>
      </c>
      <c r="H593" s="44" t="s">
        <v>1815</v>
      </c>
      <c r="I593" s="44" t="s">
        <v>57</v>
      </c>
      <c r="J593" s="44" t="s">
        <v>33</v>
      </c>
      <c r="K593" s="46" t="n">
        <f aca="false">IF(E593=TRUE(),1,0)</f>
        <v>0</v>
      </c>
      <c r="L593" s="44"/>
    </row>
    <row r="594" customFormat="false" ht="15" hidden="false" customHeight="true" outlineLevel="0" collapsed="false">
      <c r="A594" s="38" t="n">
        <v>593</v>
      </c>
      <c r="B594" s="39" t="s">
        <v>1816</v>
      </c>
      <c r="C594" s="39" t="s">
        <v>1817</v>
      </c>
      <c r="D594" s="39" t="s">
        <v>33</v>
      </c>
      <c r="E594" s="40" t="b">
        <f aca="false">FALSE()</f>
        <v>0</v>
      </c>
      <c r="F594" s="38" t="s">
        <v>34</v>
      </c>
      <c r="G594" s="38" t="n">
        <v>593</v>
      </c>
      <c r="H594" s="39" t="s">
        <v>1818</v>
      </c>
      <c r="I594" s="39" t="s">
        <v>57</v>
      </c>
      <c r="J594" s="39" t="s">
        <v>37</v>
      </c>
      <c r="K594" s="41" t="n">
        <f aca="false">IF(E594=TRUE(),1,0)</f>
        <v>0</v>
      </c>
      <c r="L594" s="39"/>
    </row>
    <row r="595" customFormat="false" ht="15" hidden="false" customHeight="true" outlineLevel="0" collapsed="false">
      <c r="A595" s="43" t="n">
        <v>594</v>
      </c>
      <c r="B595" s="44" t="s">
        <v>1819</v>
      </c>
      <c r="C595" s="44" t="s">
        <v>1820</v>
      </c>
      <c r="D595" s="44" t="s">
        <v>33</v>
      </c>
      <c r="E595" s="45" t="b">
        <f aca="false">FALSE()</f>
        <v>0</v>
      </c>
      <c r="F595" s="43" t="s">
        <v>44</v>
      </c>
      <c r="G595" s="43" t="n">
        <v>594</v>
      </c>
      <c r="H595" s="44" t="s">
        <v>1821</v>
      </c>
      <c r="I595" s="44" t="s">
        <v>36</v>
      </c>
      <c r="J595" s="44" t="s">
        <v>37</v>
      </c>
      <c r="K595" s="46" t="n">
        <f aca="false">IF(E595=TRUE(),1,0)</f>
        <v>0</v>
      </c>
      <c r="L595" s="44"/>
    </row>
    <row r="596" customFormat="false" ht="15" hidden="false" customHeight="true" outlineLevel="0" collapsed="false">
      <c r="A596" s="38" t="n">
        <v>595</v>
      </c>
      <c r="B596" s="39" t="s">
        <v>1822</v>
      </c>
      <c r="C596" s="39" t="s">
        <v>1823</v>
      </c>
      <c r="D596" s="39" t="s">
        <v>33</v>
      </c>
      <c r="E596" s="40" t="b">
        <f aca="false">FALSE()</f>
        <v>0</v>
      </c>
      <c r="F596" s="38" t="s">
        <v>34</v>
      </c>
      <c r="G596" s="38" t="n">
        <v>595</v>
      </c>
      <c r="H596" s="39" t="s">
        <v>1824</v>
      </c>
      <c r="I596" s="39" t="s">
        <v>57</v>
      </c>
      <c r="J596" s="39" t="s">
        <v>37</v>
      </c>
      <c r="K596" s="41" t="n">
        <f aca="false">IF(E596=TRUE(),1,0)</f>
        <v>0</v>
      </c>
      <c r="L596" s="39"/>
    </row>
    <row r="597" customFormat="false" ht="15" hidden="false" customHeight="true" outlineLevel="0" collapsed="false">
      <c r="A597" s="43" t="n">
        <v>596</v>
      </c>
      <c r="B597" s="44" t="s">
        <v>1825</v>
      </c>
      <c r="C597" s="44" t="s">
        <v>1826</v>
      </c>
      <c r="D597" s="44" t="s">
        <v>37</v>
      </c>
      <c r="E597" s="45" t="b">
        <f aca="false">TRUE()</f>
        <v>1</v>
      </c>
      <c r="F597" s="43" t="s">
        <v>44</v>
      </c>
      <c r="G597" s="43" t="n">
        <v>596</v>
      </c>
      <c r="H597" s="44" t="s">
        <v>1827</v>
      </c>
      <c r="I597" s="44" t="s">
        <v>46</v>
      </c>
      <c r="J597" s="44" t="s">
        <v>37</v>
      </c>
      <c r="K597" s="46" t="n">
        <f aca="false">IF(E597=TRUE(),1,0)</f>
        <v>1</v>
      </c>
      <c r="L597" s="47" t="n">
        <v>46218.5525578704</v>
      </c>
    </row>
    <row r="598" customFormat="false" ht="15" hidden="false" customHeight="true" outlineLevel="0" collapsed="false">
      <c r="A598" s="38" t="n">
        <v>597</v>
      </c>
      <c r="B598" s="39" t="s">
        <v>1828</v>
      </c>
      <c r="C598" s="39" t="s">
        <v>1829</v>
      </c>
      <c r="D598" s="39" t="s">
        <v>47</v>
      </c>
      <c r="E598" s="40" t="b">
        <f aca="false">TRUE()</f>
        <v>1</v>
      </c>
      <c r="F598" s="38" t="s">
        <v>44</v>
      </c>
      <c r="G598" s="38" t="n">
        <v>597</v>
      </c>
      <c r="H598" s="39" t="s">
        <v>1830</v>
      </c>
      <c r="I598" s="39" t="s">
        <v>36</v>
      </c>
      <c r="J598" s="39" t="s">
        <v>33</v>
      </c>
      <c r="K598" s="41" t="n">
        <f aca="false">IF(E598=TRUE(),1,0)</f>
        <v>1</v>
      </c>
      <c r="L598" s="42" t="n">
        <v>46218.5538657407</v>
      </c>
    </row>
    <row r="599" customFormat="false" ht="15" hidden="false" customHeight="true" outlineLevel="0" collapsed="false">
      <c r="A599" s="43" t="n">
        <v>598</v>
      </c>
      <c r="B599" s="44" t="s">
        <v>1831</v>
      </c>
      <c r="C599" s="44" t="s">
        <v>1832</v>
      </c>
      <c r="D599" s="44" t="s">
        <v>37</v>
      </c>
      <c r="E599" s="45" t="b">
        <f aca="false">TRUE()</f>
        <v>1</v>
      </c>
      <c r="F599" s="43" t="s">
        <v>34</v>
      </c>
      <c r="G599" s="43" t="n">
        <v>598</v>
      </c>
      <c r="H599" s="44" t="s">
        <v>1833</v>
      </c>
      <c r="I599" s="44" t="s">
        <v>46</v>
      </c>
      <c r="J599" s="44" t="s">
        <v>33</v>
      </c>
      <c r="K599" s="46" t="n">
        <f aca="false">IF(E599=TRUE(),1,0)</f>
        <v>1</v>
      </c>
      <c r="L599" s="47" t="n">
        <v>46218.5563888889</v>
      </c>
    </row>
    <row r="600" customFormat="false" ht="15" hidden="false" customHeight="true" outlineLevel="0" collapsed="false">
      <c r="A600" s="38" t="n">
        <v>599</v>
      </c>
      <c r="B600" s="39" t="s">
        <v>1834</v>
      </c>
      <c r="C600" s="39" t="s">
        <v>1835</v>
      </c>
      <c r="D600" s="39" t="s">
        <v>33</v>
      </c>
      <c r="E600" s="40" t="b">
        <f aca="false">TRUE()</f>
        <v>1</v>
      </c>
      <c r="F600" s="38" t="s">
        <v>40</v>
      </c>
      <c r="G600" s="38" t="n">
        <v>599</v>
      </c>
      <c r="H600" s="39" t="s">
        <v>1836</v>
      </c>
      <c r="I600" s="39" t="s">
        <v>36</v>
      </c>
      <c r="J600" s="39" t="s">
        <v>37</v>
      </c>
      <c r="K600" s="41" t="n">
        <f aca="false">IF(E600=TRUE(),1,0)</f>
        <v>1</v>
      </c>
      <c r="L600" s="42" t="n">
        <v>46218.5568865741</v>
      </c>
    </row>
    <row r="601" customFormat="false" ht="15" hidden="false" customHeight="true" outlineLevel="0" collapsed="false">
      <c r="A601" s="43" t="n">
        <v>600</v>
      </c>
      <c r="B601" s="44" t="s">
        <v>1837</v>
      </c>
      <c r="C601" s="44" t="s">
        <v>1838</v>
      </c>
      <c r="D601" s="44" t="s">
        <v>37</v>
      </c>
      <c r="E601" s="45" t="b">
        <f aca="false">FALSE()</f>
        <v>0</v>
      </c>
      <c r="F601" s="43" t="s">
        <v>40</v>
      </c>
      <c r="G601" s="43" t="n">
        <v>600</v>
      </c>
      <c r="H601" s="44" t="s">
        <v>1839</v>
      </c>
      <c r="I601" s="44" t="s">
        <v>36</v>
      </c>
      <c r="J601" s="44" t="s">
        <v>47</v>
      </c>
      <c r="K601" s="46" t="n">
        <f aca="false">IF(E601=TRUE(),1,0)</f>
        <v>0</v>
      </c>
      <c r="L601" s="44"/>
    </row>
    <row r="602" customFormat="false" ht="15" hidden="false" customHeight="true" outlineLevel="0" collapsed="false">
      <c r="A602" s="38" t="n">
        <v>601</v>
      </c>
      <c r="B602" s="39" t="s">
        <v>1840</v>
      </c>
      <c r="C602" s="39" t="s">
        <v>1841</v>
      </c>
      <c r="D602" s="39" t="s">
        <v>33</v>
      </c>
      <c r="E602" s="40" t="b">
        <f aca="false">TRUE()</f>
        <v>1</v>
      </c>
      <c r="F602" s="38" t="s">
        <v>44</v>
      </c>
      <c r="G602" s="38" t="n">
        <v>601</v>
      </c>
      <c r="H602" s="39" t="s">
        <v>1842</v>
      </c>
      <c r="I602" s="39" t="s">
        <v>57</v>
      </c>
      <c r="J602" s="39" t="s">
        <v>37</v>
      </c>
      <c r="K602" s="41" t="n">
        <f aca="false">IF(E602=TRUE(),1,0)</f>
        <v>1</v>
      </c>
      <c r="L602" s="42" t="n">
        <v>46218.5580092593</v>
      </c>
    </row>
    <row r="603" customFormat="false" ht="15" hidden="false" customHeight="true" outlineLevel="0" collapsed="false">
      <c r="A603" s="43" t="n">
        <v>602</v>
      </c>
      <c r="B603" s="44" t="s">
        <v>1843</v>
      </c>
      <c r="C603" s="44" t="s">
        <v>1844</v>
      </c>
      <c r="D603" s="44" t="s">
        <v>33</v>
      </c>
      <c r="E603" s="45" t="b">
        <f aca="false">FALSE()</f>
        <v>0</v>
      </c>
      <c r="F603" s="43" t="s">
        <v>44</v>
      </c>
      <c r="G603" s="43" t="n">
        <v>602</v>
      </c>
      <c r="H603" s="44" t="s">
        <v>1845</v>
      </c>
      <c r="I603" s="44" t="s">
        <v>57</v>
      </c>
      <c r="J603" s="44" t="s">
        <v>47</v>
      </c>
      <c r="K603" s="46" t="n">
        <f aca="false">IF(E603=TRUE(),1,0)</f>
        <v>0</v>
      </c>
      <c r="L603" s="44"/>
    </row>
    <row r="604" customFormat="false" ht="15" hidden="false" customHeight="true" outlineLevel="0" collapsed="false">
      <c r="A604" s="38" t="n">
        <v>603</v>
      </c>
      <c r="B604" s="39" t="s">
        <v>1846</v>
      </c>
      <c r="C604" s="39" t="s">
        <v>1847</v>
      </c>
      <c r="D604" s="39" t="s">
        <v>47</v>
      </c>
      <c r="E604" s="40" t="b">
        <f aca="false">TRUE()</f>
        <v>1</v>
      </c>
      <c r="F604" s="38" t="s">
        <v>34</v>
      </c>
      <c r="G604" s="38" t="n">
        <v>603</v>
      </c>
      <c r="H604" s="39" t="s">
        <v>1848</v>
      </c>
      <c r="I604" s="39" t="s">
        <v>46</v>
      </c>
      <c r="J604" s="39" t="s">
        <v>33</v>
      </c>
      <c r="K604" s="41" t="n">
        <f aca="false">IF(E604=TRUE(),1,0)</f>
        <v>1</v>
      </c>
      <c r="L604" s="42" t="n">
        <v>46218.5599305556</v>
      </c>
    </row>
    <row r="605" customFormat="false" ht="15" hidden="false" customHeight="true" outlineLevel="0" collapsed="false">
      <c r="A605" s="43" t="n">
        <v>604</v>
      </c>
      <c r="B605" s="44" t="s">
        <v>1849</v>
      </c>
      <c r="C605" s="44" t="s">
        <v>1850</v>
      </c>
      <c r="D605" s="44" t="s">
        <v>47</v>
      </c>
      <c r="E605" s="45" t="b">
        <f aca="false">TRUE()</f>
        <v>1</v>
      </c>
      <c r="F605" s="43" t="s">
        <v>34</v>
      </c>
      <c r="G605" s="43" t="n">
        <v>604</v>
      </c>
      <c r="H605" s="44" t="s">
        <v>1851</v>
      </c>
      <c r="I605" s="44" t="s">
        <v>57</v>
      </c>
      <c r="J605" s="44" t="s">
        <v>33</v>
      </c>
      <c r="K605" s="46" t="n">
        <f aca="false">IF(E605=TRUE(),1,0)</f>
        <v>1</v>
      </c>
      <c r="L605" s="47" t="n">
        <v>46218.5604050926</v>
      </c>
    </row>
    <row r="606" customFormat="false" ht="15" hidden="false" customHeight="true" outlineLevel="0" collapsed="false">
      <c r="A606" s="38" t="n">
        <v>605</v>
      </c>
      <c r="B606" s="39" t="s">
        <v>1852</v>
      </c>
      <c r="C606" s="39" t="s">
        <v>1853</v>
      </c>
      <c r="D606" s="39" t="s">
        <v>37</v>
      </c>
      <c r="E606" s="40" t="b">
        <f aca="false">TRUE()</f>
        <v>1</v>
      </c>
      <c r="F606" s="38" t="s">
        <v>44</v>
      </c>
      <c r="G606" s="38" t="n">
        <v>605</v>
      </c>
      <c r="H606" s="39" t="s">
        <v>1854</v>
      </c>
      <c r="I606" s="39" t="s">
        <v>36</v>
      </c>
      <c r="J606" s="39" t="s">
        <v>37</v>
      </c>
      <c r="K606" s="41" t="n">
        <f aca="false">IF(E606=TRUE(),1,0)</f>
        <v>1</v>
      </c>
      <c r="L606" s="42" t="n">
        <v>46218.5611458333</v>
      </c>
    </row>
    <row r="607" customFormat="false" ht="15" hidden="false" customHeight="true" outlineLevel="0" collapsed="false">
      <c r="A607" s="43" t="n">
        <v>606</v>
      </c>
      <c r="B607" s="44" t="s">
        <v>1855</v>
      </c>
      <c r="C607" s="44" t="s">
        <v>1856</v>
      </c>
      <c r="D607" s="44" t="s">
        <v>47</v>
      </c>
      <c r="E607" s="45" t="b">
        <f aca="false">TRUE()</f>
        <v>1</v>
      </c>
      <c r="F607" s="43" t="s">
        <v>44</v>
      </c>
      <c r="G607" s="43" t="n">
        <v>606</v>
      </c>
      <c r="H607" s="44" t="s">
        <v>1857</v>
      </c>
      <c r="I607" s="44" t="s">
        <v>57</v>
      </c>
      <c r="J607" s="44" t="s">
        <v>47</v>
      </c>
      <c r="K607" s="46" t="n">
        <f aca="false">IF(E607=TRUE(),1,0)</f>
        <v>1</v>
      </c>
      <c r="L607" s="47" t="n">
        <v>46218.5630671296</v>
      </c>
    </row>
    <row r="608" customFormat="false" ht="15" hidden="false" customHeight="true" outlineLevel="0" collapsed="false">
      <c r="A608" s="38" t="n">
        <v>607</v>
      </c>
      <c r="B608" s="39" t="s">
        <v>1858</v>
      </c>
      <c r="C608" s="39" t="s">
        <v>1859</v>
      </c>
      <c r="D608" s="39" t="s">
        <v>47</v>
      </c>
      <c r="E608" s="40" t="b">
        <f aca="false">FALSE()</f>
        <v>0</v>
      </c>
      <c r="F608" s="38" t="s">
        <v>34</v>
      </c>
      <c r="G608" s="38" t="n">
        <v>607</v>
      </c>
      <c r="H608" s="39" t="s">
        <v>1860</v>
      </c>
      <c r="I608" s="39" t="s">
        <v>57</v>
      </c>
      <c r="J608" s="39" t="s">
        <v>37</v>
      </c>
      <c r="K608" s="41" t="n">
        <f aca="false">IF(E608=TRUE(),1,0)</f>
        <v>0</v>
      </c>
      <c r="L608" s="39"/>
    </row>
    <row r="609" customFormat="false" ht="15" hidden="false" customHeight="true" outlineLevel="0" collapsed="false">
      <c r="A609" s="43" t="n">
        <v>608</v>
      </c>
      <c r="B609" s="44" t="s">
        <v>1861</v>
      </c>
      <c r="C609" s="44" t="s">
        <v>1862</v>
      </c>
      <c r="D609" s="44" t="s">
        <v>47</v>
      </c>
      <c r="E609" s="45" t="b">
        <f aca="false">TRUE()</f>
        <v>1</v>
      </c>
      <c r="F609" s="43" t="s">
        <v>44</v>
      </c>
      <c r="G609" s="43" t="n">
        <v>608</v>
      </c>
      <c r="H609" s="44" t="s">
        <v>1863</v>
      </c>
      <c r="I609" s="44" t="s">
        <v>57</v>
      </c>
      <c r="J609" s="44" t="s">
        <v>33</v>
      </c>
      <c r="K609" s="46" t="n">
        <f aca="false">IF(E609=TRUE(),1,0)</f>
        <v>1</v>
      </c>
      <c r="L609" s="47" t="n">
        <v>46218.5639583333</v>
      </c>
    </row>
    <row r="610" customFormat="false" ht="15" hidden="false" customHeight="true" outlineLevel="0" collapsed="false">
      <c r="A610" s="38" t="n">
        <v>609</v>
      </c>
      <c r="B610" s="39" t="s">
        <v>1864</v>
      </c>
      <c r="C610" s="39" t="s">
        <v>1865</v>
      </c>
      <c r="D610" s="39" t="s">
        <v>47</v>
      </c>
      <c r="E610" s="40" t="b">
        <f aca="false">TRUE()</f>
        <v>1</v>
      </c>
      <c r="F610" s="38" t="s">
        <v>44</v>
      </c>
      <c r="G610" s="38" t="n">
        <v>609</v>
      </c>
      <c r="H610" s="39" t="s">
        <v>1866</v>
      </c>
      <c r="I610" s="39" t="s">
        <v>36</v>
      </c>
      <c r="J610" s="39" t="s">
        <v>37</v>
      </c>
      <c r="K610" s="41" t="n">
        <f aca="false">IF(E610=TRUE(),1,0)</f>
        <v>1</v>
      </c>
      <c r="L610" s="42" t="n">
        <v>46218.5659722222</v>
      </c>
    </row>
    <row r="611" customFormat="false" ht="15" hidden="false" customHeight="true" outlineLevel="0" collapsed="false">
      <c r="A611" s="43" t="n">
        <v>610</v>
      </c>
      <c r="B611" s="44" t="s">
        <v>1867</v>
      </c>
      <c r="C611" s="44" t="s">
        <v>1868</v>
      </c>
      <c r="D611" s="44" t="s">
        <v>47</v>
      </c>
      <c r="E611" s="45" t="b">
        <f aca="false">FALSE()</f>
        <v>0</v>
      </c>
      <c r="F611" s="43" t="s">
        <v>40</v>
      </c>
      <c r="G611" s="43" t="n">
        <v>610</v>
      </c>
      <c r="H611" s="44" t="s">
        <v>1869</v>
      </c>
      <c r="I611" s="44" t="s">
        <v>36</v>
      </c>
      <c r="J611" s="44" t="s">
        <v>33</v>
      </c>
      <c r="K611" s="46" t="n">
        <f aca="false">IF(E611=TRUE(),1,0)</f>
        <v>0</v>
      </c>
      <c r="L611" s="44"/>
    </row>
    <row r="612" customFormat="false" ht="15" hidden="false" customHeight="true" outlineLevel="0" collapsed="false">
      <c r="A612" s="38" t="n">
        <v>611</v>
      </c>
      <c r="B612" s="39" t="s">
        <v>1870</v>
      </c>
      <c r="C612" s="39" t="s">
        <v>1871</v>
      </c>
      <c r="D612" s="39" t="s">
        <v>47</v>
      </c>
      <c r="E612" s="40" t="b">
        <f aca="false">TRUE()</f>
        <v>1</v>
      </c>
      <c r="F612" s="38" t="s">
        <v>44</v>
      </c>
      <c r="G612" s="38" t="n">
        <v>611</v>
      </c>
      <c r="H612" s="39" t="s">
        <v>1872</v>
      </c>
      <c r="I612" s="39" t="s">
        <v>46</v>
      </c>
      <c r="J612" s="39" t="s">
        <v>33</v>
      </c>
      <c r="K612" s="41" t="n">
        <f aca="false">IF(E612=TRUE(),1,0)</f>
        <v>1</v>
      </c>
      <c r="L612" s="42" t="n">
        <v>46218.5662384259</v>
      </c>
    </row>
    <row r="613" customFormat="false" ht="15" hidden="false" customHeight="true" outlineLevel="0" collapsed="false">
      <c r="A613" s="43" t="n">
        <v>612</v>
      </c>
      <c r="B613" s="44" t="s">
        <v>1873</v>
      </c>
      <c r="C613" s="44" t="s">
        <v>1874</v>
      </c>
      <c r="D613" s="44" t="s">
        <v>33</v>
      </c>
      <c r="E613" s="45" t="b">
        <f aca="false">TRUE()</f>
        <v>1</v>
      </c>
      <c r="F613" s="43" t="s">
        <v>44</v>
      </c>
      <c r="G613" s="43" t="n">
        <v>612</v>
      </c>
      <c r="H613" s="44" t="s">
        <v>1875</v>
      </c>
      <c r="I613" s="44" t="s">
        <v>46</v>
      </c>
      <c r="J613" s="44" t="s">
        <v>33</v>
      </c>
      <c r="K613" s="46" t="n">
        <f aca="false">IF(E613=TRUE(),1,0)</f>
        <v>1</v>
      </c>
      <c r="L613" s="47" t="n">
        <v>46218.5669907407</v>
      </c>
    </row>
    <row r="614" customFormat="false" ht="15" hidden="false" customHeight="true" outlineLevel="0" collapsed="false">
      <c r="A614" s="38" t="n">
        <v>613</v>
      </c>
      <c r="B614" s="39" t="s">
        <v>1876</v>
      </c>
      <c r="C614" s="39" t="s">
        <v>1877</v>
      </c>
      <c r="D614" s="39" t="s">
        <v>47</v>
      </c>
      <c r="E614" s="40" t="b">
        <f aca="false">FALSE()</f>
        <v>0</v>
      </c>
      <c r="F614" s="38" t="s">
        <v>40</v>
      </c>
      <c r="G614" s="38" t="n">
        <v>613</v>
      </c>
      <c r="H614" s="39" t="s">
        <v>1878</v>
      </c>
      <c r="I614" s="39" t="s">
        <v>46</v>
      </c>
      <c r="J614" s="39" t="s">
        <v>33</v>
      </c>
      <c r="K614" s="41" t="n">
        <f aca="false">IF(E614=TRUE(),1,0)</f>
        <v>0</v>
      </c>
      <c r="L614" s="39"/>
    </row>
    <row r="615" customFormat="false" ht="15" hidden="false" customHeight="true" outlineLevel="0" collapsed="false">
      <c r="A615" s="43" t="n">
        <v>614</v>
      </c>
      <c r="B615" s="44" t="s">
        <v>1879</v>
      </c>
      <c r="C615" s="44" t="s">
        <v>1880</v>
      </c>
      <c r="D615" s="44" t="s">
        <v>33</v>
      </c>
      <c r="E615" s="45" t="b">
        <f aca="false">FALSE()</f>
        <v>0</v>
      </c>
      <c r="F615" s="43" t="s">
        <v>34</v>
      </c>
      <c r="G615" s="43" t="n">
        <v>614</v>
      </c>
      <c r="H615" s="44" t="s">
        <v>1881</v>
      </c>
      <c r="I615" s="44" t="s">
        <v>57</v>
      </c>
      <c r="J615" s="44" t="s">
        <v>37</v>
      </c>
      <c r="K615" s="46" t="n">
        <f aca="false">IF(E615=TRUE(),1,0)</f>
        <v>0</v>
      </c>
      <c r="L615" s="44"/>
    </row>
    <row r="616" customFormat="false" ht="15" hidden="false" customHeight="true" outlineLevel="0" collapsed="false">
      <c r="A616" s="38" t="n">
        <v>615</v>
      </c>
      <c r="B616" s="39" t="s">
        <v>1882</v>
      </c>
      <c r="C616" s="39" t="s">
        <v>1883</v>
      </c>
      <c r="D616" s="39" t="s">
        <v>33</v>
      </c>
      <c r="E616" s="40" t="b">
        <f aca="false">TRUE()</f>
        <v>1</v>
      </c>
      <c r="F616" s="38" t="s">
        <v>34</v>
      </c>
      <c r="G616" s="38" t="n">
        <v>615</v>
      </c>
      <c r="H616" s="39" t="s">
        <v>1884</v>
      </c>
      <c r="I616" s="39" t="s">
        <v>36</v>
      </c>
      <c r="J616" s="39" t="s">
        <v>37</v>
      </c>
      <c r="K616" s="41" t="n">
        <f aca="false">IF(E616=TRUE(),1,0)</f>
        <v>1</v>
      </c>
      <c r="L616" s="42" t="n">
        <v>46218.5679282407</v>
      </c>
    </row>
    <row r="617" customFormat="false" ht="15" hidden="false" customHeight="true" outlineLevel="0" collapsed="false">
      <c r="A617" s="43" t="n">
        <v>616</v>
      </c>
      <c r="B617" s="44" t="s">
        <v>1885</v>
      </c>
      <c r="C617" s="44" t="s">
        <v>1886</v>
      </c>
      <c r="D617" s="44" t="s">
        <v>37</v>
      </c>
      <c r="E617" s="45" t="b">
        <f aca="false">TRUE()</f>
        <v>1</v>
      </c>
      <c r="F617" s="43" t="s">
        <v>34</v>
      </c>
      <c r="G617" s="43" t="n">
        <v>616</v>
      </c>
      <c r="H617" s="44" t="s">
        <v>1887</v>
      </c>
      <c r="I617" s="44" t="s">
        <v>46</v>
      </c>
      <c r="J617" s="44" t="s">
        <v>37</v>
      </c>
      <c r="K617" s="46" t="n">
        <f aca="false">IF(E617=TRUE(),1,0)</f>
        <v>1</v>
      </c>
      <c r="L617" s="47" t="n">
        <v>46218.5682523148</v>
      </c>
    </row>
    <row r="618" customFormat="false" ht="15" hidden="false" customHeight="true" outlineLevel="0" collapsed="false">
      <c r="A618" s="38" t="n">
        <v>617</v>
      </c>
      <c r="B618" s="39" t="s">
        <v>1888</v>
      </c>
      <c r="C618" s="39" t="s">
        <v>1889</v>
      </c>
      <c r="D618" s="39" t="s">
        <v>33</v>
      </c>
      <c r="E618" s="40" t="b">
        <f aca="false">TRUE()</f>
        <v>1</v>
      </c>
      <c r="F618" s="38" t="s">
        <v>44</v>
      </c>
      <c r="G618" s="38" t="n">
        <v>617</v>
      </c>
      <c r="H618" s="39" t="s">
        <v>1890</v>
      </c>
      <c r="I618" s="39" t="s">
        <v>57</v>
      </c>
      <c r="J618" s="39" t="s">
        <v>37</v>
      </c>
      <c r="K618" s="41" t="n">
        <f aca="false">IF(E618=TRUE(),1,0)</f>
        <v>1</v>
      </c>
      <c r="L618" s="42" t="n">
        <v>46218.5683912037</v>
      </c>
    </row>
    <row r="619" customFormat="false" ht="15" hidden="false" customHeight="true" outlineLevel="0" collapsed="false">
      <c r="A619" s="43" t="n">
        <v>618</v>
      </c>
      <c r="B619" s="44" t="s">
        <v>1891</v>
      </c>
      <c r="C619" s="44" t="s">
        <v>1892</v>
      </c>
      <c r="D619" s="44" t="s">
        <v>33</v>
      </c>
      <c r="E619" s="45" t="b">
        <f aca="false">TRUE()</f>
        <v>1</v>
      </c>
      <c r="F619" s="43" t="s">
        <v>44</v>
      </c>
      <c r="G619" s="43" t="n">
        <v>618</v>
      </c>
      <c r="H619" s="44" t="s">
        <v>1893</v>
      </c>
      <c r="I619" s="44" t="s">
        <v>57</v>
      </c>
      <c r="J619" s="44" t="s">
        <v>37</v>
      </c>
      <c r="K619" s="46" t="n">
        <f aca="false">IF(E619=TRUE(),1,0)</f>
        <v>1</v>
      </c>
      <c r="L619" s="47" t="n">
        <v>46218.571712963</v>
      </c>
    </row>
    <row r="620" customFormat="false" ht="15" hidden="false" customHeight="true" outlineLevel="0" collapsed="false">
      <c r="A620" s="38" t="n">
        <v>619</v>
      </c>
      <c r="B620" s="39" t="s">
        <v>1894</v>
      </c>
      <c r="C620" s="39" t="s">
        <v>1895</v>
      </c>
      <c r="D620" s="39" t="s">
        <v>37</v>
      </c>
      <c r="E620" s="40" t="b">
        <f aca="false">TRUE()</f>
        <v>1</v>
      </c>
      <c r="F620" s="38" t="s">
        <v>40</v>
      </c>
      <c r="G620" s="38" t="n">
        <v>619</v>
      </c>
      <c r="H620" s="39" t="s">
        <v>1896</v>
      </c>
      <c r="I620" s="39" t="s">
        <v>57</v>
      </c>
      <c r="J620" s="39" t="s">
        <v>37</v>
      </c>
      <c r="K620" s="41" t="n">
        <f aca="false">IF(E620=TRUE(),1,0)</f>
        <v>1</v>
      </c>
      <c r="L620" s="42" t="n">
        <v>46218.5719560185</v>
      </c>
    </row>
    <row r="621" customFormat="false" ht="15" hidden="false" customHeight="true" outlineLevel="0" collapsed="false">
      <c r="A621" s="43" t="n">
        <v>620</v>
      </c>
      <c r="B621" s="44" t="s">
        <v>1897</v>
      </c>
      <c r="C621" s="44" t="s">
        <v>1898</v>
      </c>
      <c r="D621" s="44" t="s">
        <v>37</v>
      </c>
      <c r="E621" s="45" t="b">
        <f aca="false">FALSE()</f>
        <v>0</v>
      </c>
      <c r="F621" s="43" t="s">
        <v>34</v>
      </c>
      <c r="G621" s="43" t="n">
        <v>620</v>
      </c>
      <c r="H621" s="44" t="s">
        <v>1899</v>
      </c>
      <c r="I621" s="44" t="s">
        <v>36</v>
      </c>
      <c r="J621" s="44" t="s">
        <v>47</v>
      </c>
      <c r="K621" s="46" t="n">
        <f aca="false">IF(E621=TRUE(),1,0)</f>
        <v>0</v>
      </c>
      <c r="L621" s="44"/>
    </row>
    <row r="622" customFormat="false" ht="15" hidden="false" customHeight="true" outlineLevel="0" collapsed="false">
      <c r="A622" s="38" t="n">
        <v>621</v>
      </c>
      <c r="B622" s="39" t="s">
        <v>1900</v>
      </c>
      <c r="C622" s="39" t="s">
        <v>1901</v>
      </c>
      <c r="D622" s="39" t="s">
        <v>47</v>
      </c>
      <c r="E622" s="40" t="b">
        <f aca="false">TRUE()</f>
        <v>1</v>
      </c>
      <c r="F622" s="38" t="s">
        <v>44</v>
      </c>
      <c r="G622" s="38" t="n">
        <v>621</v>
      </c>
      <c r="H622" s="39" t="s">
        <v>1902</v>
      </c>
      <c r="I622" s="39" t="s">
        <v>46</v>
      </c>
      <c r="J622" s="39" t="s">
        <v>37</v>
      </c>
      <c r="K622" s="41" t="n">
        <f aca="false">IF(E622=TRUE(),1,0)</f>
        <v>1</v>
      </c>
      <c r="L622" s="42" t="n">
        <v>46218.5724537037</v>
      </c>
    </row>
    <row r="623" customFormat="false" ht="15" hidden="false" customHeight="true" outlineLevel="0" collapsed="false">
      <c r="A623" s="43" t="n">
        <v>622</v>
      </c>
      <c r="B623" s="44" t="s">
        <v>1903</v>
      </c>
      <c r="C623" s="44" t="s">
        <v>1904</v>
      </c>
      <c r="D623" s="44" t="s">
        <v>37</v>
      </c>
      <c r="E623" s="45" t="b">
        <f aca="false">TRUE()</f>
        <v>1</v>
      </c>
      <c r="F623" s="43" t="s">
        <v>44</v>
      </c>
      <c r="G623" s="43" t="n">
        <v>622</v>
      </c>
      <c r="H623" s="44" t="s">
        <v>1905</v>
      </c>
      <c r="I623" s="44" t="s">
        <v>57</v>
      </c>
      <c r="J623" s="44" t="s">
        <v>37</v>
      </c>
      <c r="K623" s="46" t="n">
        <f aca="false">IF(E623=TRUE(),1,0)</f>
        <v>1</v>
      </c>
      <c r="L623" s="47" t="n">
        <v>46218.5749074074</v>
      </c>
    </row>
    <row r="624" customFormat="false" ht="15" hidden="false" customHeight="true" outlineLevel="0" collapsed="false">
      <c r="A624" s="38" t="n">
        <v>623</v>
      </c>
      <c r="B624" s="39" t="s">
        <v>1906</v>
      </c>
      <c r="C624" s="39" t="s">
        <v>1907</v>
      </c>
      <c r="D624" s="39" t="s">
        <v>33</v>
      </c>
      <c r="E624" s="40" t="b">
        <f aca="false">FALSE()</f>
        <v>0</v>
      </c>
      <c r="F624" s="38" t="s">
        <v>44</v>
      </c>
      <c r="G624" s="38" t="n">
        <v>623</v>
      </c>
      <c r="H624" s="39" t="s">
        <v>1908</v>
      </c>
      <c r="I624" s="39" t="s">
        <v>36</v>
      </c>
      <c r="J624" s="39" t="s">
        <v>47</v>
      </c>
      <c r="K624" s="41" t="n">
        <f aca="false">IF(E624=TRUE(),1,0)</f>
        <v>0</v>
      </c>
      <c r="L624" s="39"/>
    </row>
    <row r="625" customFormat="false" ht="15" hidden="false" customHeight="true" outlineLevel="0" collapsed="false">
      <c r="A625" s="43" t="n">
        <v>624</v>
      </c>
      <c r="B625" s="44" t="s">
        <v>1909</v>
      </c>
      <c r="C625" s="44" t="s">
        <v>1910</v>
      </c>
      <c r="D625" s="44" t="s">
        <v>47</v>
      </c>
      <c r="E625" s="45" t="b">
        <f aca="false">FALSE()</f>
        <v>0</v>
      </c>
      <c r="F625" s="43" t="s">
        <v>44</v>
      </c>
      <c r="G625" s="43" t="n">
        <v>624</v>
      </c>
      <c r="H625" s="44" t="s">
        <v>1911</v>
      </c>
      <c r="I625" s="44" t="s">
        <v>46</v>
      </c>
      <c r="J625" s="44" t="s">
        <v>47</v>
      </c>
      <c r="K625" s="46" t="n">
        <f aca="false">IF(E625=TRUE(),1,0)</f>
        <v>0</v>
      </c>
      <c r="L625" s="44"/>
    </row>
    <row r="626" customFormat="false" ht="15" hidden="false" customHeight="true" outlineLevel="0" collapsed="false">
      <c r="A626" s="38" t="n">
        <v>625</v>
      </c>
      <c r="B626" s="39" t="s">
        <v>1912</v>
      </c>
      <c r="C626" s="39" t="s">
        <v>1913</v>
      </c>
      <c r="D626" s="39" t="s">
        <v>33</v>
      </c>
      <c r="E626" s="40" t="b">
        <f aca="false">FALSE()</f>
        <v>0</v>
      </c>
      <c r="F626" s="38" t="s">
        <v>34</v>
      </c>
      <c r="G626" s="38" t="n">
        <v>625</v>
      </c>
      <c r="H626" s="39" t="s">
        <v>1914</v>
      </c>
      <c r="I626" s="39" t="s">
        <v>36</v>
      </c>
      <c r="J626" s="39" t="s">
        <v>33</v>
      </c>
      <c r="K626" s="41" t="n">
        <f aca="false">IF(E626=TRUE(),1,0)</f>
        <v>0</v>
      </c>
      <c r="L626" s="39"/>
    </row>
    <row r="627" customFormat="false" ht="15" hidden="false" customHeight="true" outlineLevel="0" collapsed="false">
      <c r="A627" s="43" t="n">
        <v>626</v>
      </c>
      <c r="B627" s="44" t="s">
        <v>1915</v>
      </c>
      <c r="C627" s="44" t="s">
        <v>1916</v>
      </c>
      <c r="D627" s="44" t="s">
        <v>47</v>
      </c>
      <c r="E627" s="45" t="b">
        <f aca="false">FALSE()</f>
        <v>0</v>
      </c>
      <c r="F627" s="43" t="s">
        <v>34</v>
      </c>
      <c r="G627" s="43" t="n">
        <v>626</v>
      </c>
      <c r="H627" s="44" t="s">
        <v>1917</v>
      </c>
      <c r="I627" s="44" t="s">
        <v>36</v>
      </c>
      <c r="J627" s="44" t="s">
        <v>47</v>
      </c>
      <c r="K627" s="46" t="n">
        <f aca="false">IF(E627=TRUE(),1,0)</f>
        <v>0</v>
      </c>
      <c r="L627" s="44"/>
    </row>
    <row r="628" customFormat="false" ht="15" hidden="false" customHeight="true" outlineLevel="0" collapsed="false">
      <c r="A628" s="38" t="n">
        <v>627</v>
      </c>
      <c r="B628" s="39" t="s">
        <v>1918</v>
      </c>
      <c r="C628" s="39" t="s">
        <v>1919</v>
      </c>
      <c r="D628" s="39" t="s">
        <v>33</v>
      </c>
      <c r="E628" s="40" t="b">
        <f aca="false">TRUE()</f>
        <v>1</v>
      </c>
      <c r="F628" s="38" t="s">
        <v>40</v>
      </c>
      <c r="G628" s="38" t="n">
        <v>627</v>
      </c>
      <c r="H628" s="39" t="s">
        <v>1920</v>
      </c>
      <c r="I628" s="39" t="s">
        <v>57</v>
      </c>
      <c r="J628" s="39" t="s">
        <v>47</v>
      </c>
      <c r="K628" s="41" t="n">
        <f aca="false">IF(E628=TRUE(),1,0)</f>
        <v>1</v>
      </c>
      <c r="L628" s="42" t="n">
        <v>46218.5752777778</v>
      </c>
    </row>
    <row r="629" customFormat="false" ht="15" hidden="false" customHeight="true" outlineLevel="0" collapsed="false">
      <c r="A629" s="43" t="n">
        <v>628</v>
      </c>
      <c r="B629" s="44" t="s">
        <v>1921</v>
      </c>
      <c r="C629" s="44" t="s">
        <v>1922</v>
      </c>
      <c r="D629" s="44" t="s">
        <v>47</v>
      </c>
      <c r="E629" s="45" t="b">
        <f aca="false">FALSE()</f>
        <v>0</v>
      </c>
      <c r="F629" s="43" t="s">
        <v>44</v>
      </c>
      <c r="G629" s="43" t="n">
        <v>628</v>
      </c>
      <c r="H629" s="44" t="s">
        <v>1923</v>
      </c>
      <c r="I629" s="44" t="s">
        <v>46</v>
      </c>
      <c r="J629" s="44" t="s">
        <v>37</v>
      </c>
      <c r="K629" s="46" t="n">
        <f aca="false">IF(E629=TRUE(),1,0)</f>
        <v>0</v>
      </c>
      <c r="L629" s="44"/>
    </row>
    <row r="630" customFormat="false" ht="15" hidden="false" customHeight="true" outlineLevel="0" collapsed="false">
      <c r="A630" s="38" t="n">
        <v>629</v>
      </c>
      <c r="B630" s="39" t="s">
        <v>1924</v>
      </c>
      <c r="C630" s="39" t="s">
        <v>1925</v>
      </c>
      <c r="D630" s="39" t="s">
        <v>37</v>
      </c>
      <c r="E630" s="40" t="b">
        <f aca="false">TRUE()</f>
        <v>1</v>
      </c>
      <c r="F630" s="38" t="s">
        <v>44</v>
      </c>
      <c r="G630" s="38" t="n">
        <v>629</v>
      </c>
      <c r="H630" s="39" t="s">
        <v>1926</v>
      </c>
      <c r="I630" s="39" t="s">
        <v>46</v>
      </c>
      <c r="J630" s="39" t="s">
        <v>33</v>
      </c>
      <c r="K630" s="41" t="n">
        <f aca="false">IF(E630=TRUE(),1,0)</f>
        <v>1</v>
      </c>
      <c r="L630" s="42" t="n">
        <v>46218.5787847222</v>
      </c>
    </row>
    <row r="631" customFormat="false" ht="15" hidden="false" customHeight="true" outlineLevel="0" collapsed="false">
      <c r="A631" s="43" t="n">
        <v>630</v>
      </c>
      <c r="B631" s="44" t="s">
        <v>1927</v>
      </c>
      <c r="C631" s="44" t="s">
        <v>1928</v>
      </c>
      <c r="D631" s="44" t="s">
        <v>37</v>
      </c>
      <c r="E631" s="45" t="b">
        <f aca="false">FALSE()</f>
        <v>0</v>
      </c>
      <c r="F631" s="43" t="s">
        <v>34</v>
      </c>
      <c r="G631" s="43" t="n">
        <v>630</v>
      </c>
      <c r="H631" s="44" t="s">
        <v>1929</v>
      </c>
      <c r="I631" s="44" t="s">
        <v>36</v>
      </c>
      <c r="J631" s="44" t="s">
        <v>33</v>
      </c>
      <c r="K631" s="46" t="n">
        <f aca="false">IF(E631=TRUE(),1,0)</f>
        <v>0</v>
      </c>
      <c r="L631" s="44"/>
    </row>
    <row r="632" customFormat="false" ht="15" hidden="false" customHeight="true" outlineLevel="0" collapsed="false">
      <c r="A632" s="38" t="n">
        <v>631</v>
      </c>
      <c r="B632" s="39" t="s">
        <v>1930</v>
      </c>
      <c r="C632" s="39" t="s">
        <v>1931</v>
      </c>
      <c r="D632" s="39" t="s">
        <v>47</v>
      </c>
      <c r="E632" s="40" t="b">
        <f aca="false">TRUE()</f>
        <v>1</v>
      </c>
      <c r="F632" s="38" t="s">
        <v>40</v>
      </c>
      <c r="G632" s="38" t="n">
        <v>631</v>
      </c>
      <c r="H632" s="39" t="s">
        <v>1932</v>
      </c>
      <c r="I632" s="39" t="s">
        <v>46</v>
      </c>
      <c r="J632" s="39" t="s">
        <v>33</v>
      </c>
      <c r="K632" s="41" t="n">
        <f aca="false">IF(E632=TRUE(),1,0)</f>
        <v>1</v>
      </c>
      <c r="L632" s="42" t="n">
        <v>46218.5791203704</v>
      </c>
    </row>
    <row r="633" customFormat="false" ht="15" hidden="false" customHeight="true" outlineLevel="0" collapsed="false">
      <c r="A633" s="43" t="n">
        <v>632</v>
      </c>
      <c r="B633" s="44" t="s">
        <v>1933</v>
      </c>
      <c r="C633" s="44" t="s">
        <v>1934</v>
      </c>
      <c r="D633" s="44" t="s">
        <v>37</v>
      </c>
      <c r="E633" s="45" t="b">
        <f aca="false">FALSE()</f>
        <v>0</v>
      </c>
      <c r="F633" s="43" t="s">
        <v>34</v>
      </c>
      <c r="G633" s="43" t="n">
        <v>632</v>
      </c>
      <c r="H633" s="44" t="s">
        <v>1935</v>
      </c>
      <c r="I633" s="44" t="s">
        <v>36</v>
      </c>
      <c r="J633" s="44" t="s">
        <v>33</v>
      </c>
      <c r="K633" s="46" t="n">
        <f aca="false">IF(E633=TRUE(),1,0)</f>
        <v>0</v>
      </c>
      <c r="L633" s="44"/>
    </row>
    <row r="634" customFormat="false" ht="15" hidden="false" customHeight="true" outlineLevel="0" collapsed="false">
      <c r="A634" s="38" t="n">
        <v>633</v>
      </c>
      <c r="B634" s="39" t="s">
        <v>1936</v>
      </c>
      <c r="C634" s="39" t="s">
        <v>1937</v>
      </c>
      <c r="D634" s="39" t="s">
        <v>47</v>
      </c>
      <c r="E634" s="40" t="b">
        <f aca="false">TRUE()</f>
        <v>1</v>
      </c>
      <c r="F634" s="38" t="s">
        <v>44</v>
      </c>
      <c r="G634" s="38" t="n">
        <v>633</v>
      </c>
      <c r="H634" s="39" t="s">
        <v>1938</v>
      </c>
      <c r="I634" s="39" t="s">
        <v>46</v>
      </c>
      <c r="J634" s="39" t="s">
        <v>33</v>
      </c>
      <c r="K634" s="41" t="n">
        <f aca="false">IF(E634=TRUE(),1,0)</f>
        <v>1</v>
      </c>
      <c r="L634" s="42" t="n">
        <v>46218.5792476852</v>
      </c>
    </row>
    <row r="635" customFormat="false" ht="15" hidden="false" customHeight="true" outlineLevel="0" collapsed="false">
      <c r="A635" s="43" t="n">
        <v>634</v>
      </c>
      <c r="B635" s="44" t="s">
        <v>1939</v>
      </c>
      <c r="C635" s="44" t="s">
        <v>1940</v>
      </c>
      <c r="D635" s="44" t="s">
        <v>33</v>
      </c>
      <c r="E635" s="45" t="b">
        <f aca="false">FALSE()</f>
        <v>0</v>
      </c>
      <c r="F635" s="43" t="s">
        <v>34</v>
      </c>
      <c r="G635" s="43" t="n">
        <v>634</v>
      </c>
      <c r="H635" s="44" t="s">
        <v>1941</v>
      </c>
      <c r="I635" s="44" t="s">
        <v>46</v>
      </c>
      <c r="J635" s="44" t="s">
        <v>37</v>
      </c>
      <c r="K635" s="46" t="n">
        <f aca="false">IF(E635=TRUE(),1,0)</f>
        <v>0</v>
      </c>
      <c r="L635" s="44"/>
    </row>
    <row r="636" customFormat="false" ht="15" hidden="false" customHeight="true" outlineLevel="0" collapsed="false">
      <c r="A636" s="38" t="n">
        <v>635</v>
      </c>
      <c r="B636" s="39" t="s">
        <v>1942</v>
      </c>
      <c r="C636" s="39" t="s">
        <v>1943</v>
      </c>
      <c r="D636" s="39" t="s">
        <v>37</v>
      </c>
      <c r="E636" s="40" t="b">
        <f aca="false">TRUE()</f>
        <v>1</v>
      </c>
      <c r="F636" s="38" t="s">
        <v>34</v>
      </c>
      <c r="G636" s="38" t="n">
        <v>635</v>
      </c>
      <c r="H636" s="39" t="s">
        <v>1944</v>
      </c>
      <c r="I636" s="39" t="s">
        <v>57</v>
      </c>
      <c r="J636" s="39" t="s">
        <v>37</v>
      </c>
      <c r="K636" s="41" t="n">
        <f aca="false">IF(E636=TRUE(),1,0)</f>
        <v>1</v>
      </c>
      <c r="L636" s="42" t="n">
        <v>46218.5794791667</v>
      </c>
    </row>
    <row r="637" customFormat="false" ht="15" hidden="false" customHeight="true" outlineLevel="0" collapsed="false">
      <c r="A637" s="43" t="n">
        <v>636</v>
      </c>
      <c r="B637" s="44" t="s">
        <v>1945</v>
      </c>
      <c r="C637" s="44" t="s">
        <v>1946</v>
      </c>
      <c r="D637" s="44" t="s">
        <v>33</v>
      </c>
      <c r="E637" s="45" t="b">
        <f aca="false">FALSE()</f>
        <v>0</v>
      </c>
      <c r="F637" s="43" t="s">
        <v>34</v>
      </c>
      <c r="G637" s="43" t="n">
        <v>636</v>
      </c>
      <c r="H637" s="44" t="s">
        <v>1947</v>
      </c>
      <c r="I637" s="44" t="s">
        <v>57</v>
      </c>
      <c r="J637" s="44" t="s">
        <v>37</v>
      </c>
      <c r="K637" s="46" t="n">
        <f aca="false">IF(E637=TRUE(),1,0)</f>
        <v>0</v>
      </c>
      <c r="L637" s="44"/>
    </row>
    <row r="638" customFormat="false" ht="15" hidden="false" customHeight="true" outlineLevel="0" collapsed="false">
      <c r="A638" s="38" t="n">
        <v>637</v>
      </c>
      <c r="B638" s="39" t="s">
        <v>1948</v>
      </c>
      <c r="C638" s="39" t="s">
        <v>1949</v>
      </c>
      <c r="D638" s="39" t="s">
        <v>37</v>
      </c>
      <c r="E638" s="40" t="b">
        <f aca="false">TRUE()</f>
        <v>1</v>
      </c>
      <c r="F638" s="38" t="s">
        <v>34</v>
      </c>
      <c r="G638" s="38" t="n">
        <v>637</v>
      </c>
      <c r="H638" s="39" t="s">
        <v>1950</v>
      </c>
      <c r="I638" s="39" t="s">
        <v>36</v>
      </c>
      <c r="J638" s="39" t="s">
        <v>37</v>
      </c>
      <c r="K638" s="41" t="n">
        <f aca="false">IF(E638=TRUE(),1,0)</f>
        <v>1</v>
      </c>
      <c r="L638" s="42" t="n">
        <v>46218.579837963</v>
      </c>
    </row>
    <row r="639" customFormat="false" ht="15" hidden="false" customHeight="true" outlineLevel="0" collapsed="false">
      <c r="A639" s="43" t="n">
        <v>638</v>
      </c>
      <c r="B639" s="44" t="s">
        <v>1951</v>
      </c>
      <c r="C639" s="44" t="s">
        <v>1952</v>
      </c>
      <c r="D639" s="44" t="s">
        <v>37</v>
      </c>
      <c r="E639" s="45" t="b">
        <f aca="false">TRUE()</f>
        <v>1</v>
      </c>
      <c r="F639" s="43" t="s">
        <v>34</v>
      </c>
      <c r="G639" s="43" t="n">
        <v>638</v>
      </c>
      <c r="H639" s="44" t="s">
        <v>1953</v>
      </c>
      <c r="I639" s="44" t="s">
        <v>57</v>
      </c>
      <c r="J639" s="44" t="s">
        <v>47</v>
      </c>
      <c r="K639" s="46" t="n">
        <f aca="false">IF(E639=TRUE(),1,0)</f>
        <v>1</v>
      </c>
      <c r="L639" s="47" t="n">
        <v>46218.5799884259</v>
      </c>
    </row>
    <row r="640" customFormat="false" ht="15" hidden="false" customHeight="true" outlineLevel="0" collapsed="false">
      <c r="A640" s="38" t="n">
        <v>639</v>
      </c>
      <c r="B640" s="39" t="s">
        <v>1954</v>
      </c>
      <c r="C640" s="39" t="s">
        <v>1955</v>
      </c>
      <c r="D640" s="39" t="s">
        <v>33</v>
      </c>
      <c r="E640" s="40" t="b">
        <f aca="false">FALSE()</f>
        <v>0</v>
      </c>
      <c r="F640" s="38" t="s">
        <v>34</v>
      </c>
      <c r="G640" s="38" t="n">
        <v>639</v>
      </c>
      <c r="H640" s="39" t="s">
        <v>1956</v>
      </c>
      <c r="I640" s="39" t="s">
        <v>36</v>
      </c>
      <c r="J640" s="39" t="s">
        <v>37</v>
      </c>
      <c r="K640" s="41" t="n">
        <f aca="false">IF(E640=TRUE(),1,0)</f>
        <v>0</v>
      </c>
      <c r="L640" s="39"/>
    </row>
    <row r="641" customFormat="false" ht="15" hidden="false" customHeight="true" outlineLevel="0" collapsed="false">
      <c r="A641" s="43" t="n">
        <v>640</v>
      </c>
      <c r="B641" s="44" t="s">
        <v>1957</v>
      </c>
      <c r="C641" s="44" t="s">
        <v>1958</v>
      </c>
      <c r="D641" s="44" t="s">
        <v>47</v>
      </c>
      <c r="E641" s="45" t="b">
        <f aca="false">FALSE()</f>
        <v>0</v>
      </c>
      <c r="F641" s="43" t="s">
        <v>34</v>
      </c>
      <c r="G641" s="43" t="n">
        <v>640</v>
      </c>
      <c r="H641" s="44" t="s">
        <v>1959</v>
      </c>
      <c r="I641" s="44" t="s">
        <v>46</v>
      </c>
      <c r="J641" s="44" t="s">
        <v>33</v>
      </c>
      <c r="K641" s="46" t="n">
        <f aca="false">IF(E641=TRUE(),1,0)</f>
        <v>0</v>
      </c>
      <c r="L641" s="44"/>
    </row>
    <row r="642" customFormat="false" ht="15" hidden="false" customHeight="true" outlineLevel="0" collapsed="false">
      <c r="A642" s="38" t="n">
        <v>641</v>
      </c>
      <c r="B642" s="39" t="s">
        <v>1960</v>
      </c>
      <c r="C642" s="39" t="s">
        <v>1961</v>
      </c>
      <c r="D642" s="39" t="s">
        <v>33</v>
      </c>
      <c r="E642" s="40" t="b">
        <f aca="false">TRUE()</f>
        <v>1</v>
      </c>
      <c r="F642" s="38" t="s">
        <v>34</v>
      </c>
      <c r="G642" s="38" t="n">
        <v>641</v>
      </c>
      <c r="H642" s="39" t="s">
        <v>1962</v>
      </c>
      <c r="I642" s="39" t="s">
        <v>36</v>
      </c>
      <c r="J642" s="39" t="s">
        <v>47</v>
      </c>
      <c r="K642" s="41" t="n">
        <f aca="false">IF(E642=TRUE(),1,0)</f>
        <v>1</v>
      </c>
      <c r="L642" s="42" t="n">
        <v>46218.5811226852</v>
      </c>
    </row>
    <row r="643" customFormat="false" ht="15" hidden="false" customHeight="true" outlineLevel="0" collapsed="false">
      <c r="A643" s="43" t="n">
        <v>642</v>
      </c>
      <c r="B643" s="44" t="s">
        <v>1963</v>
      </c>
      <c r="C643" s="44" t="s">
        <v>1964</v>
      </c>
      <c r="D643" s="44" t="s">
        <v>33</v>
      </c>
      <c r="E643" s="45" t="b">
        <f aca="false">FALSE()</f>
        <v>0</v>
      </c>
      <c r="F643" s="43" t="s">
        <v>44</v>
      </c>
      <c r="G643" s="43" t="n">
        <v>642</v>
      </c>
      <c r="H643" s="44" t="s">
        <v>1965</v>
      </c>
      <c r="I643" s="44" t="s">
        <v>57</v>
      </c>
      <c r="J643" s="44" t="s">
        <v>47</v>
      </c>
      <c r="K643" s="46" t="n">
        <f aca="false">IF(E643=TRUE(),1,0)</f>
        <v>0</v>
      </c>
      <c r="L643" s="44"/>
    </row>
    <row r="644" customFormat="false" ht="15" hidden="false" customHeight="true" outlineLevel="0" collapsed="false">
      <c r="A644" s="38" t="n">
        <v>643</v>
      </c>
      <c r="B644" s="39" t="s">
        <v>1966</v>
      </c>
      <c r="C644" s="39" t="s">
        <v>1967</v>
      </c>
      <c r="D644" s="39" t="s">
        <v>47</v>
      </c>
      <c r="E644" s="40" t="b">
        <f aca="false">TRUE()</f>
        <v>1</v>
      </c>
      <c r="F644" s="38" t="s">
        <v>34</v>
      </c>
      <c r="G644" s="38" t="n">
        <v>643</v>
      </c>
      <c r="H644" s="39" t="s">
        <v>1968</v>
      </c>
      <c r="I644" s="39" t="s">
        <v>57</v>
      </c>
      <c r="J644" s="39" t="s">
        <v>33</v>
      </c>
      <c r="K644" s="41" t="n">
        <f aca="false">IF(E644=TRUE(),1,0)</f>
        <v>1</v>
      </c>
      <c r="L644" s="42" t="n">
        <v>46218.5818287037</v>
      </c>
    </row>
    <row r="645" customFormat="false" ht="15" hidden="false" customHeight="true" outlineLevel="0" collapsed="false">
      <c r="A645" s="43" t="n">
        <v>644</v>
      </c>
      <c r="B645" s="44" t="s">
        <v>1969</v>
      </c>
      <c r="C645" s="44" t="s">
        <v>1970</v>
      </c>
      <c r="D645" s="44" t="s">
        <v>37</v>
      </c>
      <c r="E645" s="45" t="b">
        <f aca="false">FALSE()</f>
        <v>0</v>
      </c>
      <c r="F645" s="43" t="s">
        <v>40</v>
      </c>
      <c r="G645" s="43" t="n">
        <v>644</v>
      </c>
      <c r="H645" s="44" t="s">
        <v>1971</v>
      </c>
      <c r="I645" s="44" t="s">
        <v>36</v>
      </c>
      <c r="J645" s="44" t="s">
        <v>47</v>
      </c>
      <c r="K645" s="46" t="n">
        <f aca="false">IF(E645=TRUE(),1,0)</f>
        <v>0</v>
      </c>
      <c r="L645" s="44"/>
    </row>
    <row r="646" customFormat="false" ht="15" hidden="false" customHeight="true" outlineLevel="0" collapsed="false">
      <c r="A646" s="38" t="n">
        <v>645</v>
      </c>
      <c r="B646" s="39" t="s">
        <v>1972</v>
      </c>
      <c r="C646" s="39" t="s">
        <v>1973</v>
      </c>
      <c r="D646" s="39" t="s">
        <v>33</v>
      </c>
      <c r="E646" s="40" t="b">
        <f aca="false">TRUE()</f>
        <v>1</v>
      </c>
      <c r="F646" s="38" t="s">
        <v>34</v>
      </c>
      <c r="G646" s="38" t="n">
        <v>645</v>
      </c>
      <c r="H646" s="39" t="s">
        <v>1974</v>
      </c>
      <c r="I646" s="39" t="s">
        <v>57</v>
      </c>
      <c r="J646" s="39" t="s">
        <v>47</v>
      </c>
      <c r="K646" s="41" t="n">
        <f aca="false">IF(E646=TRUE(),1,0)</f>
        <v>1</v>
      </c>
      <c r="L646" s="42" t="n">
        <v>46218.5835185185</v>
      </c>
    </row>
    <row r="647" customFormat="false" ht="15" hidden="false" customHeight="true" outlineLevel="0" collapsed="false">
      <c r="A647" s="43" t="n">
        <v>646</v>
      </c>
      <c r="B647" s="44" t="s">
        <v>1975</v>
      </c>
      <c r="C647" s="44" t="s">
        <v>1976</v>
      </c>
      <c r="D647" s="44" t="s">
        <v>37</v>
      </c>
      <c r="E647" s="45" t="b">
        <f aca="false">TRUE()</f>
        <v>1</v>
      </c>
      <c r="F647" s="43" t="s">
        <v>44</v>
      </c>
      <c r="G647" s="43" t="n">
        <v>646</v>
      </c>
      <c r="H647" s="44" t="s">
        <v>1977</v>
      </c>
      <c r="I647" s="44" t="s">
        <v>36</v>
      </c>
      <c r="J647" s="44" t="s">
        <v>37</v>
      </c>
      <c r="K647" s="46" t="n">
        <f aca="false">IF(E647=TRUE(),1,0)</f>
        <v>1</v>
      </c>
      <c r="L647" s="47" t="n">
        <v>46218.5838425926</v>
      </c>
    </row>
    <row r="648" customFormat="false" ht="15" hidden="false" customHeight="true" outlineLevel="0" collapsed="false">
      <c r="A648" s="38" t="n">
        <v>647</v>
      </c>
      <c r="B648" s="39" t="s">
        <v>1978</v>
      </c>
      <c r="C648" s="39" t="s">
        <v>1979</v>
      </c>
      <c r="D648" s="39" t="s">
        <v>37</v>
      </c>
      <c r="E648" s="40" t="b">
        <f aca="false">TRUE()</f>
        <v>1</v>
      </c>
      <c r="F648" s="38" t="s">
        <v>44</v>
      </c>
      <c r="G648" s="38" t="n">
        <v>647</v>
      </c>
      <c r="H648" s="39" t="s">
        <v>1980</v>
      </c>
      <c r="I648" s="39" t="s">
        <v>57</v>
      </c>
      <c r="J648" s="39" t="s">
        <v>47</v>
      </c>
      <c r="K648" s="41" t="n">
        <f aca="false">IF(E648=TRUE(),1,0)</f>
        <v>1</v>
      </c>
      <c r="L648" s="42" t="n">
        <v>46218.5878009259</v>
      </c>
    </row>
    <row r="649" customFormat="false" ht="15" hidden="false" customHeight="true" outlineLevel="0" collapsed="false">
      <c r="A649" s="43" t="n">
        <v>648</v>
      </c>
      <c r="B649" s="44" t="s">
        <v>1981</v>
      </c>
      <c r="C649" s="44" t="s">
        <v>1982</v>
      </c>
      <c r="D649" s="44" t="s">
        <v>33</v>
      </c>
      <c r="E649" s="45" t="b">
        <f aca="false">FALSE()</f>
        <v>0</v>
      </c>
      <c r="F649" s="43" t="s">
        <v>44</v>
      </c>
      <c r="G649" s="43" t="n">
        <v>648</v>
      </c>
      <c r="H649" s="44" t="s">
        <v>1983</v>
      </c>
      <c r="I649" s="44" t="s">
        <v>46</v>
      </c>
      <c r="J649" s="44" t="s">
        <v>47</v>
      </c>
      <c r="K649" s="46" t="n">
        <f aca="false">IF(E649=TRUE(),1,0)</f>
        <v>0</v>
      </c>
      <c r="L649" s="44"/>
    </row>
    <row r="650" customFormat="false" ht="15" hidden="false" customHeight="true" outlineLevel="0" collapsed="false">
      <c r="A650" s="38" t="n">
        <v>649</v>
      </c>
      <c r="B650" s="39" t="s">
        <v>1984</v>
      </c>
      <c r="C650" s="39" t="s">
        <v>1985</v>
      </c>
      <c r="D650" s="39" t="s">
        <v>47</v>
      </c>
      <c r="E650" s="40" t="b">
        <f aca="false">TRUE()</f>
        <v>1</v>
      </c>
      <c r="F650" s="38" t="s">
        <v>44</v>
      </c>
      <c r="G650" s="38" t="n">
        <v>649</v>
      </c>
      <c r="H650" s="39" t="s">
        <v>1986</v>
      </c>
      <c r="I650" s="39" t="s">
        <v>36</v>
      </c>
      <c r="J650" s="39" t="s">
        <v>37</v>
      </c>
      <c r="K650" s="41" t="n">
        <f aca="false">IF(E650=TRUE(),1,0)</f>
        <v>1</v>
      </c>
      <c r="L650" s="42" t="n">
        <v>46218.5917592593</v>
      </c>
    </row>
    <row r="651" customFormat="false" ht="15" hidden="false" customHeight="true" outlineLevel="0" collapsed="false">
      <c r="A651" s="43" t="n">
        <v>650</v>
      </c>
      <c r="B651" s="44" t="s">
        <v>1987</v>
      </c>
      <c r="C651" s="44" t="s">
        <v>1988</v>
      </c>
      <c r="D651" s="44" t="s">
        <v>33</v>
      </c>
      <c r="E651" s="45" t="b">
        <f aca="false">FALSE()</f>
        <v>0</v>
      </c>
      <c r="F651" s="43" t="s">
        <v>44</v>
      </c>
      <c r="G651" s="43" t="n">
        <v>650</v>
      </c>
      <c r="H651" s="44" t="s">
        <v>1989</v>
      </c>
      <c r="I651" s="44" t="s">
        <v>46</v>
      </c>
      <c r="J651" s="44" t="s">
        <v>47</v>
      </c>
      <c r="K651" s="46" t="n">
        <f aca="false">IF(E651=TRUE(),1,0)</f>
        <v>0</v>
      </c>
      <c r="L651" s="44"/>
    </row>
    <row r="652" customFormat="false" ht="15" hidden="false" customHeight="true" outlineLevel="0" collapsed="false">
      <c r="A652" s="38" t="n">
        <v>651</v>
      </c>
      <c r="B652" s="39" t="s">
        <v>1990</v>
      </c>
      <c r="C652" s="39" t="s">
        <v>1991</v>
      </c>
      <c r="D652" s="39" t="s">
        <v>37</v>
      </c>
      <c r="E652" s="40" t="b">
        <f aca="false">FALSE()</f>
        <v>0</v>
      </c>
      <c r="F652" s="38" t="s">
        <v>34</v>
      </c>
      <c r="G652" s="38" t="n">
        <v>651</v>
      </c>
      <c r="H652" s="39" t="s">
        <v>1992</v>
      </c>
      <c r="I652" s="39" t="s">
        <v>46</v>
      </c>
      <c r="J652" s="39" t="s">
        <v>47</v>
      </c>
      <c r="K652" s="41" t="n">
        <f aca="false">IF(E652=TRUE(),1,0)</f>
        <v>0</v>
      </c>
      <c r="L652" s="39"/>
    </row>
    <row r="653" customFormat="false" ht="15" hidden="false" customHeight="true" outlineLevel="0" collapsed="false">
      <c r="A653" s="43" t="n">
        <v>652</v>
      </c>
      <c r="B653" s="44" t="s">
        <v>1993</v>
      </c>
      <c r="C653" s="44" t="s">
        <v>1994</v>
      </c>
      <c r="D653" s="44" t="s">
        <v>33</v>
      </c>
      <c r="E653" s="45" t="b">
        <f aca="false">FALSE()</f>
        <v>0</v>
      </c>
      <c r="F653" s="43" t="s">
        <v>34</v>
      </c>
      <c r="G653" s="43" t="n">
        <v>652</v>
      </c>
      <c r="H653" s="44" t="s">
        <v>1995</v>
      </c>
      <c r="I653" s="44" t="s">
        <v>46</v>
      </c>
      <c r="J653" s="44" t="s">
        <v>47</v>
      </c>
      <c r="K653" s="46" t="n">
        <f aca="false">IF(E653=TRUE(),1,0)</f>
        <v>0</v>
      </c>
      <c r="L653" s="44"/>
    </row>
    <row r="654" customFormat="false" ht="15" hidden="false" customHeight="true" outlineLevel="0" collapsed="false">
      <c r="A654" s="38" t="n">
        <v>653</v>
      </c>
      <c r="B654" s="39" t="s">
        <v>1996</v>
      </c>
      <c r="C654" s="39" t="s">
        <v>1997</v>
      </c>
      <c r="D654" s="39" t="s">
        <v>33</v>
      </c>
      <c r="E654" s="40" t="b">
        <f aca="false">TRUE()</f>
        <v>1</v>
      </c>
      <c r="F654" s="38" t="s">
        <v>40</v>
      </c>
      <c r="G654" s="38" t="n">
        <v>653</v>
      </c>
      <c r="H654" s="39" t="s">
        <v>1998</v>
      </c>
      <c r="I654" s="39" t="s">
        <v>46</v>
      </c>
      <c r="J654" s="39" t="s">
        <v>33</v>
      </c>
      <c r="K654" s="41" t="n">
        <f aca="false">IF(E654=TRUE(),1,0)</f>
        <v>1</v>
      </c>
      <c r="L654" s="42" t="n">
        <v>46218.591875</v>
      </c>
    </row>
    <row r="655" customFormat="false" ht="15" hidden="false" customHeight="true" outlineLevel="0" collapsed="false">
      <c r="A655" s="43" t="n">
        <v>654</v>
      </c>
      <c r="B655" s="44" t="s">
        <v>1999</v>
      </c>
      <c r="C655" s="44" t="s">
        <v>2000</v>
      </c>
      <c r="D655" s="44" t="s">
        <v>33</v>
      </c>
      <c r="E655" s="45" t="b">
        <f aca="false">FALSE()</f>
        <v>0</v>
      </c>
      <c r="F655" s="43" t="s">
        <v>40</v>
      </c>
      <c r="G655" s="43" t="n">
        <v>654</v>
      </c>
      <c r="H655" s="44" t="s">
        <v>2001</v>
      </c>
      <c r="I655" s="44" t="s">
        <v>36</v>
      </c>
      <c r="J655" s="44" t="s">
        <v>47</v>
      </c>
      <c r="K655" s="46" t="n">
        <f aca="false">IF(E655=TRUE(),1,0)</f>
        <v>0</v>
      </c>
      <c r="L655" s="44"/>
    </row>
    <row r="656" customFormat="false" ht="15" hidden="false" customHeight="true" outlineLevel="0" collapsed="false">
      <c r="A656" s="38" t="n">
        <v>655</v>
      </c>
      <c r="B656" s="39" t="s">
        <v>2002</v>
      </c>
      <c r="C656" s="39" t="s">
        <v>2003</v>
      </c>
      <c r="D656" s="39" t="s">
        <v>33</v>
      </c>
      <c r="E656" s="40" t="b">
        <f aca="false">TRUE()</f>
        <v>1</v>
      </c>
      <c r="F656" s="38" t="s">
        <v>44</v>
      </c>
      <c r="G656" s="38" t="n">
        <v>655</v>
      </c>
      <c r="H656" s="39" t="s">
        <v>2004</v>
      </c>
      <c r="I656" s="39" t="s">
        <v>57</v>
      </c>
      <c r="J656" s="39" t="s">
        <v>47</v>
      </c>
      <c r="K656" s="41" t="n">
        <f aca="false">IF(E656=TRUE(),1,0)</f>
        <v>1</v>
      </c>
      <c r="L656" s="42" t="n">
        <v>46218.593900463</v>
      </c>
    </row>
    <row r="657" customFormat="false" ht="15" hidden="false" customHeight="true" outlineLevel="0" collapsed="false">
      <c r="A657" s="43" t="n">
        <v>656</v>
      </c>
      <c r="B657" s="44" t="s">
        <v>2005</v>
      </c>
      <c r="C657" s="44" t="s">
        <v>2006</v>
      </c>
      <c r="D657" s="44" t="s">
        <v>47</v>
      </c>
      <c r="E657" s="45" t="b">
        <f aca="false">FALSE()</f>
        <v>0</v>
      </c>
      <c r="F657" s="43" t="s">
        <v>34</v>
      </c>
      <c r="G657" s="43" t="n">
        <v>656</v>
      </c>
      <c r="H657" s="44" t="s">
        <v>2007</v>
      </c>
      <c r="I657" s="44" t="s">
        <v>36</v>
      </c>
      <c r="J657" s="44" t="s">
        <v>33</v>
      </c>
      <c r="K657" s="46" t="n">
        <f aca="false">IF(E657=TRUE(),1,0)</f>
        <v>0</v>
      </c>
      <c r="L657" s="44"/>
    </row>
    <row r="658" customFormat="false" ht="15" hidden="false" customHeight="true" outlineLevel="0" collapsed="false">
      <c r="A658" s="38" t="n">
        <v>657</v>
      </c>
      <c r="B658" s="39" t="s">
        <v>2008</v>
      </c>
      <c r="C658" s="39" t="s">
        <v>2009</v>
      </c>
      <c r="D658" s="39" t="s">
        <v>37</v>
      </c>
      <c r="E658" s="40" t="b">
        <f aca="false">FALSE()</f>
        <v>0</v>
      </c>
      <c r="F658" s="38" t="s">
        <v>40</v>
      </c>
      <c r="G658" s="38" t="n">
        <v>657</v>
      </c>
      <c r="H658" s="39" t="s">
        <v>2010</v>
      </c>
      <c r="I658" s="39" t="s">
        <v>57</v>
      </c>
      <c r="J658" s="39" t="s">
        <v>47</v>
      </c>
      <c r="K658" s="41" t="n">
        <f aca="false">IF(E658=TRUE(),1,0)</f>
        <v>0</v>
      </c>
      <c r="L658" s="39"/>
    </row>
    <row r="659" customFormat="false" ht="15" hidden="false" customHeight="true" outlineLevel="0" collapsed="false">
      <c r="A659" s="43" t="n">
        <v>658</v>
      </c>
      <c r="B659" s="44" t="s">
        <v>2011</v>
      </c>
      <c r="C659" s="44" t="s">
        <v>2012</v>
      </c>
      <c r="D659" s="44" t="s">
        <v>37</v>
      </c>
      <c r="E659" s="45" t="b">
        <f aca="false">FALSE()</f>
        <v>0</v>
      </c>
      <c r="F659" s="43" t="s">
        <v>44</v>
      </c>
      <c r="G659" s="43" t="n">
        <v>658</v>
      </c>
      <c r="H659" s="44" t="s">
        <v>2013</v>
      </c>
      <c r="I659" s="44" t="s">
        <v>57</v>
      </c>
      <c r="J659" s="44" t="s">
        <v>37</v>
      </c>
      <c r="K659" s="46" t="n">
        <f aca="false">IF(E659=TRUE(),1,0)</f>
        <v>0</v>
      </c>
      <c r="L659" s="44"/>
    </row>
    <row r="660" customFormat="false" ht="15" hidden="false" customHeight="true" outlineLevel="0" collapsed="false">
      <c r="A660" s="38" t="n">
        <v>659</v>
      </c>
      <c r="B660" s="39" t="s">
        <v>2014</v>
      </c>
      <c r="C660" s="39" t="s">
        <v>2015</v>
      </c>
      <c r="D660" s="39" t="s">
        <v>37</v>
      </c>
      <c r="E660" s="40" t="b">
        <f aca="false">FALSE()</f>
        <v>0</v>
      </c>
      <c r="F660" s="38" t="s">
        <v>44</v>
      </c>
      <c r="G660" s="38" t="n">
        <v>659</v>
      </c>
      <c r="H660" s="39" t="s">
        <v>2016</v>
      </c>
      <c r="I660" s="39" t="s">
        <v>46</v>
      </c>
      <c r="J660" s="39" t="s">
        <v>33</v>
      </c>
      <c r="K660" s="41" t="n">
        <f aca="false">IF(E660=TRUE(),1,0)</f>
        <v>0</v>
      </c>
      <c r="L660" s="39"/>
    </row>
    <row r="661" customFormat="false" ht="15" hidden="false" customHeight="true" outlineLevel="0" collapsed="false">
      <c r="A661" s="43" t="n">
        <v>660</v>
      </c>
      <c r="B661" s="44" t="s">
        <v>2017</v>
      </c>
      <c r="C661" s="44" t="s">
        <v>2018</v>
      </c>
      <c r="D661" s="44" t="s">
        <v>47</v>
      </c>
      <c r="E661" s="45" t="b">
        <f aca="false">TRUE()</f>
        <v>1</v>
      </c>
      <c r="F661" s="43" t="s">
        <v>34</v>
      </c>
      <c r="G661" s="43" t="n">
        <v>660</v>
      </c>
      <c r="H661" s="44" t="s">
        <v>2019</v>
      </c>
      <c r="I661" s="44" t="s">
        <v>57</v>
      </c>
      <c r="J661" s="44" t="s">
        <v>47</v>
      </c>
      <c r="K661" s="46" t="n">
        <f aca="false">IF(E661=TRUE(),1,0)</f>
        <v>1</v>
      </c>
      <c r="L661" s="47" t="n">
        <v>46218.5943055556</v>
      </c>
    </row>
    <row r="662" customFormat="false" ht="15" hidden="false" customHeight="true" outlineLevel="0" collapsed="false">
      <c r="A662" s="38" t="n">
        <v>661</v>
      </c>
      <c r="B662" s="39" t="s">
        <v>2020</v>
      </c>
      <c r="C662" s="39" t="s">
        <v>2021</v>
      </c>
      <c r="D662" s="39" t="s">
        <v>47</v>
      </c>
      <c r="E662" s="40" t="b">
        <f aca="false">FALSE()</f>
        <v>0</v>
      </c>
      <c r="F662" s="38" t="s">
        <v>44</v>
      </c>
      <c r="G662" s="38" t="n">
        <v>661</v>
      </c>
      <c r="H662" s="39" t="s">
        <v>2022</v>
      </c>
      <c r="I662" s="39" t="s">
        <v>57</v>
      </c>
      <c r="J662" s="39" t="s">
        <v>33</v>
      </c>
      <c r="K662" s="41" t="n">
        <f aca="false">IF(E662=TRUE(),1,0)</f>
        <v>0</v>
      </c>
      <c r="L662" s="39"/>
    </row>
    <row r="663" customFormat="false" ht="15" hidden="false" customHeight="true" outlineLevel="0" collapsed="false">
      <c r="A663" s="43" t="n">
        <v>662</v>
      </c>
      <c r="B663" s="44" t="s">
        <v>2023</v>
      </c>
      <c r="C663" s="44" t="s">
        <v>2024</v>
      </c>
      <c r="D663" s="44" t="s">
        <v>47</v>
      </c>
      <c r="E663" s="45" t="b">
        <f aca="false">FALSE()</f>
        <v>0</v>
      </c>
      <c r="F663" s="43" t="s">
        <v>44</v>
      </c>
      <c r="G663" s="43" t="n">
        <v>662</v>
      </c>
      <c r="H663" s="44" t="s">
        <v>2025</v>
      </c>
      <c r="I663" s="44" t="s">
        <v>57</v>
      </c>
      <c r="J663" s="44" t="s">
        <v>33</v>
      </c>
      <c r="K663" s="46" t="n">
        <f aca="false">IF(E663=TRUE(),1,0)</f>
        <v>0</v>
      </c>
      <c r="L663" s="44"/>
    </row>
    <row r="664" customFormat="false" ht="15" hidden="false" customHeight="true" outlineLevel="0" collapsed="false">
      <c r="A664" s="38" t="n">
        <v>663</v>
      </c>
      <c r="B664" s="39" t="s">
        <v>2026</v>
      </c>
      <c r="C664" s="39" t="s">
        <v>2027</v>
      </c>
      <c r="D664" s="39" t="s">
        <v>37</v>
      </c>
      <c r="E664" s="40" t="b">
        <f aca="false">TRUE()</f>
        <v>1</v>
      </c>
      <c r="F664" s="38" t="s">
        <v>44</v>
      </c>
      <c r="G664" s="38" t="n">
        <v>663</v>
      </c>
      <c r="H664" s="39" t="s">
        <v>2028</v>
      </c>
      <c r="I664" s="39" t="s">
        <v>36</v>
      </c>
      <c r="J664" s="39" t="s">
        <v>37</v>
      </c>
      <c r="K664" s="41" t="n">
        <f aca="false">IF(E664=TRUE(),1,0)</f>
        <v>1</v>
      </c>
      <c r="L664" s="42" t="n">
        <v>46218.5946180556</v>
      </c>
    </row>
    <row r="665" customFormat="false" ht="15" hidden="false" customHeight="true" outlineLevel="0" collapsed="false">
      <c r="A665" s="43" t="n">
        <v>664</v>
      </c>
      <c r="B665" s="44" t="s">
        <v>2029</v>
      </c>
      <c r="C665" s="44" t="s">
        <v>2030</v>
      </c>
      <c r="D665" s="44" t="s">
        <v>33</v>
      </c>
      <c r="E665" s="45" t="b">
        <f aca="false">TRUE()</f>
        <v>1</v>
      </c>
      <c r="F665" s="43" t="s">
        <v>44</v>
      </c>
      <c r="G665" s="43" t="n">
        <v>664</v>
      </c>
      <c r="H665" s="44" t="s">
        <v>2031</v>
      </c>
      <c r="I665" s="44" t="s">
        <v>57</v>
      </c>
      <c r="J665" s="44" t="s">
        <v>33</v>
      </c>
      <c r="K665" s="46" t="n">
        <f aca="false">IF(E665=TRUE(),1,0)</f>
        <v>1</v>
      </c>
      <c r="L665" s="47" t="n">
        <v>46218.5948263889</v>
      </c>
    </row>
    <row r="666" customFormat="false" ht="15" hidden="false" customHeight="true" outlineLevel="0" collapsed="false">
      <c r="A666" s="38" t="n">
        <v>665</v>
      </c>
      <c r="B666" s="39" t="s">
        <v>2032</v>
      </c>
      <c r="C666" s="39" t="s">
        <v>2033</v>
      </c>
      <c r="D666" s="39" t="s">
        <v>47</v>
      </c>
      <c r="E666" s="40" t="b">
        <f aca="false">TRUE()</f>
        <v>1</v>
      </c>
      <c r="F666" s="38" t="s">
        <v>34</v>
      </c>
      <c r="G666" s="38" t="n">
        <v>665</v>
      </c>
      <c r="H666" s="39" t="s">
        <v>2034</v>
      </c>
      <c r="I666" s="39" t="s">
        <v>57</v>
      </c>
      <c r="J666" s="39" t="s">
        <v>47</v>
      </c>
      <c r="K666" s="41" t="n">
        <f aca="false">IF(E666=TRUE(),1,0)</f>
        <v>1</v>
      </c>
      <c r="L666" s="42" t="n">
        <v>46218.5958564815</v>
      </c>
    </row>
    <row r="667" customFormat="false" ht="15" hidden="false" customHeight="true" outlineLevel="0" collapsed="false">
      <c r="A667" s="43" t="n">
        <v>666</v>
      </c>
      <c r="B667" s="44" t="s">
        <v>2035</v>
      </c>
      <c r="C667" s="44" t="s">
        <v>2036</v>
      </c>
      <c r="D667" s="44" t="s">
        <v>37</v>
      </c>
      <c r="E667" s="45" t="b">
        <f aca="false">TRUE()</f>
        <v>1</v>
      </c>
      <c r="F667" s="43" t="s">
        <v>40</v>
      </c>
      <c r="G667" s="43" t="n">
        <v>666</v>
      </c>
      <c r="H667" s="44" t="s">
        <v>2037</v>
      </c>
      <c r="I667" s="44" t="s">
        <v>57</v>
      </c>
      <c r="J667" s="44" t="s">
        <v>47</v>
      </c>
      <c r="K667" s="46" t="n">
        <f aca="false">IF(E667=TRUE(),1,0)</f>
        <v>1</v>
      </c>
      <c r="L667" s="47" t="n">
        <v>46218.5959490741</v>
      </c>
    </row>
    <row r="668" customFormat="false" ht="15" hidden="false" customHeight="true" outlineLevel="0" collapsed="false">
      <c r="A668" s="38" t="n">
        <v>667</v>
      </c>
      <c r="B668" s="39" t="s">
        <v>2038</v>
      </c>
      <c r="C668" s="39" t="s">
        <v>2039</v>
      </c>
      <c r="D668" s="39" t="s">
        <v>33</v>
      </c>
      <c r="E668" s="40" t="b">
        <f aca="false">TRUE()</f>
        <v>1</v>
      </c>
      <c r="F668" s="38" t="s">
        <v>44</v>
      </c>
      <c r="G668" s="38" t="n">
        <v>667</v>
      </c>
      <c r="H668" s="39" t="s">
        <v>2040</v>
      </c>
      <c r="I668" s="39" t="s">
        <v>36</v>
      </c>
      <c r="J668" s="39" t="s">
        <v>37</v>
      </c>
      <c r="K668" s="41" t="n">
        <f aca="false">IF(E668=TRUE(),1,0)</f>
        <v>1</v>
      </c>
      <c r="L668" s="42" t="n">
        <v>46218.5968865741</v>
      </c>
    </row>
    <row r="669" customFormat="false" ht="15" hidden="false" customHeight="true" outlineLevel="0" collapsed="false">
      <c r="A669" s="43" t="n">
        <v>668</v>
      </c>
      <c r="B669" s="44" t="s">
        <v>2041</v>
      </c>
      <c r="C669" s="44" t="s">
        <v>2042</v>
      </c>
      <c r="D669" s="44" t="s">
        <v>37</v>
      </c>
      <c r="E669" s="45" t="b">
        <f aca="false">TRUE()</f>
        <v>1</v>
      </c>
      <c r="F669" s="43" t="s">
        <v>40</v>
      </c>
      <c r="G669" s="43" t="n">
        <v>668</v>
      </c>
      <c r="H669" s="44" t="s">
        <v>2043</v>
      </c>
      <c r="I669" s="44" t="s">
        <v>46</v>
      </c>
      <c r="J669" s="44" t="s">
        <v>47</v>
      </c>
      <c r="K669" s="46" t="n">
        <f aca="false">IF(E669=TRUE(),1,0)</f>
        <v>1</v>
      </c>
      <c r="L669" s="47" t="n">
        <v>46218.5970601852</v>
      </c>
    </row>
    <row r="670" customFormat="false" ht="15" hidden="false" customHeight="true" outlineLevel="0" collapsed="false">
      <c r="A670" s="38" t="n">
        <v>669</v>
      </c>
      <c r="B670" s="39" t="s">
        <v>2044</v>
      </c>
      <c r="C670" s="39" t="s">
        <v>2045</v>
      </c>
      <c r="D670" s="39" t="s">
        <v>33</v>
      </c>
      <c r="E670" s="40" t="b">
        <f aca="false">TRUE()</f>
        <v>1</v>
      </c>
      <c r="F670" s="38" t="s">
        <v>44</v>
      </c>
      <c r="G670" s="38" t="n">
        <v>669</v>
      </c>
      <c r="H670" s="39" t="s">
        <v>2046</v>
      </c>
      <c r="I670" s="39" t="s">
        <v>57</v>
      </c>
      <c r="J670" s="39" t="s">
        <v>33</v>
      </c>
      <c r="K670" s="41" t="n">
        <f aca="false">IF(E670=TRUE(),1,0)</f>
        <v>1</v>
      </c>
      <c r="L670" s="42" t="n">
        <v>46218.5979282407</v>
      </c>
    </row>
    <row r="671" customFormat="false" ht="15" hidden="false" customHeight="true" outlineLevel="0" collapsed="false">
      <c r="A671" s="43" t="n">
        <v>670</v>
      </c>
      <c r="B671" s="44" t="s">
        <v>2047</v>
      </c>
      <c r="C671" s="44" t="s">
        <v>2048</v>
      </c>
      <c r="D671" s="44" t="s">
        <v>33</v>
      </c>
      <c r="E671" s="45" t="b">
        <f aca="false">FALSE()</f>
        <v>0</v>
      </c>
      <c r="F671" s="43" t="s">
        <v>40</v>
      </c>
      <c r="G671" s="43" t="n">
        <v>670</v>
      </c>
      <c r="H671" s="44" t="s">
        <v>2049</v>
      </c>
      <c r="I671" s="44" t="s">
        <v>36</v>
      </c>
      <c r="J671" s="44" t="s">
        <v>47</v>
      </c>
      <c r="K671" s="46" t="n">
        <f aca="false">IF(E671=TRUE(),1,0)</f>
        <v>0</v>
      </c>
      <c r="L671" s="44"/>
    </row>
    <row r="672" customFormat="false" ht="15" hidden="false" customHeight="true" outlineLevel="0" collapsed="false">
      <c r="A672" s="38" t="n">
        <v>671</v>
      </c>
      <c r="B672" s="39" t="s">
        <v>2050</v>
      </c>
      <c r="C672" s="39" t="s">
        <v>2051</v>
      </c>
      <c r="D672" s="39" t="s">
        <v>33</v>
      </c>
      <c r="E672" s="40" t="b">
        <f aca="false">TRUE()</f>
        <v>1</v>
      </c>
      <c r="F672" s="38" t="s">
        <v>44</v>
      </c>
      <c r="G672" s="38" t="n">
        <v>671</v>
      </c>
      <c r="H672" s="39" t="s">
        <v>2052</v>
      </c>
      <c r="I672" s="39" t="s">
        <v>36</v>
      </c>
      <c r="J672" s="39" t="s">
        <v>33</v>
      </c>
      <c r="K672" s="41" t="n">
        <f aca="false">IF(E672=TRUE(),1,0)</f>
        <v>1</v>
      </c>
      <c r="L672" s="42" t="n">
        <v>46218.5996759259</v>
      </c>
    </row>
    <row r="673" customFormat="false" ht="15" hidden="false" customHeight="true" outlineLevel="0" collapsed="false">
      <c r="A673" s="43" t="n">
        <v>672</v>
      </c>
      <c r="B673" s="44" t="s">
        <v>2053</v>
      </c>
      <c r="C673" s="44" t="s">
        <v>2054</v>
      </c>
      <c r="D673" s="44" t="s">
        <v>37</v>
      </c>
      <c r="E673" s="45" t="b">
        <f aca="false">FALSE()</f>
        <v>0</v>
      </c>
      <c r="F673" s="43" t="s">
        <v>34</v>
      </c>
      <c r="G673" s="43" t="n">
        <v>672</v>
      </c>
      <c r="H673" s="44" t="s">
        <v>2055</v>
      </c>
      <c r="I673" s="44" t="s">
        <v>46</v>
      </c>
      <c r="J673" s="44" t="s">
        <v>47</v>
      </c>
      <c r="K673" s="46" t="n">
        <f aca="false">IF(E673=TRUE(),1,0)</f>
        <v>0</v>
      </c>
      <c r="L673" s="44"/>
    </row>
    <row r="674" customFormat="false" ht="15" hidden="false" customHeight="true" outlineLevel="0" collapsed="false">
      <c r="A674" s="38" t="n">
        <v>673</v>
      </c>
      <c r="B674" s="39" t="s">
        <v>2056</v>
      </c>
      <c r="C674" s="39" t="s">
        <v>2057</v>
      </c>
      <c r="D674" s="39" t="s">
        <v>37</v>
      </c>
      <c r="E674" s="40" t="b">
        <f aca="false">FALSE()</f>
        <v>0</v>
      </c>
      <c r="F674" s="38" t="s">
        <v>34</v>
      </c>
      <c r="G674" s="38" t="n">
        <v>673</v>
      </c>
      <c r="H674" s="39" t="s">
        <v>2058</v>
      </c>
      <c r="I674" s="39" t="s">
        <v>57</v>
      </c>
      <c r="J674" s="39" t="s">
        <v>47</v>
      </c>
      <c r="K674" s="41" t="n">
        <f aca="false">IF(E674=TRUE(),1,0)</f>
        <v>0</v>
      </c>
      <c r="L674" s="39"/>
    </row>
    <row r="675" customFormat="false" ht="15" hidden="false" customHeight="true" outlineLevel="0" collapsed="false">
      <c r="A675" s="43" t="n">
        <v>674</v>
      </c>
      <c r="B675" s="44" t="s">
        <v>2059</v>
      </c>
      <c r="C675" s="44" t="s">
        <v>2060</v>
      </c>
      <c r="D675" s="44" t="s">
        <v>47</v>
      </c>
      <c r="E675" s="45" t="b">
        <f aca="false">TRUE()</f>
        <v>1</v>
      </c>
      <c r="F675" s="43" t="s">
        <v>34</v>
      </c>
      <c r="G675" s="43" t="n">
        <v>674</v>
      </c>
      <c r="H675" s="44" t="s">
        <v>2061</v>
      </c>
      <c r="I675" s="44" t="s">
        <v>46</v>
      </c>
      <c r="J675" s="44" t="s">
        <v>37</v>
      </c>
      <c r="K675" s="46" t="n">
        <f aca="false">IF(E675=TRUE(),1,0)</f>
        <v>1</v>
      </c>
      <c r="L675" s="47" t="n">
        <v>46218.5999074074</v>
      </c>
    </row>
    <row r="676" customFormat="false" ht="15" hidden="false" customHeight="true" outlineLevel="0" collapsed="false">
      <c r="A676" s="38" t="n">
        <v>675</v>
      </c>
      <c r="B676" s="39" t="s">
        <v>2062</v>
      </c>
      <c r="C676" s="39" t="s">
        <v>2063</v>
      </c>
      <c r="D676" s="39" t="s">
        <v>33</v>
      </c>
      <c r="E676" s="40" t="b">
        <f aca="false">TRUE()</f>
        <v>1</v>
      </c>
      <c r="F676" s="38" t="s">
        <v>34</v>
      </c>
      <c r="G676" s="38" t="n">
        <v>675</v>
      </c>
      <c r="H676" s="39" t="s">
        <v>2064</v>
      </c>
      <c r="I676" s="39" t="s">
        <v>36</v>
      </c>
      <c r="J676" s="39" t="s">
        <v>33</v>
      </c>
      <c r="K676" s="41" t="n">
        <f aca="false">IF(E676=TRUE(),1,0)</f>
        <v>1</v>
      </c>
      <c r="L676" s="42" t="n">
        <v>46218.5999305556</v>
      </c>
    </row>
    <row r="677" customFormat="false" ht="15" hidden="false" customHeight="true" outlineLevel="0" collapsed="false">
      <c r="A677" s="43" t="n">
        <v>676</v>
      </c>
      <c r="B677" s="44" t="s">
        <v>2065</v>
      </c>
      <c r="C677" s="44" t="s">
        <v>2066</v>
      </c>
      <c r="D677" s="44" t="s">
        <v>33</v>
      </c>
      <c r="E677" s="45" t="b">
        <f aca="false">FALSE()</f>
        <v>0</v>
      </c>
      <c r="F677" s="43" t="s">
        <v>34</v>
      </c>
      <c r="G677" s="43" t="n">
        <v>676</v>
      </c>
      <c r="H677" s="44" t="s">
        <v>2067</v>
      </c>
      <c r="I677" s="44" t="s">
        <v>57</v>
      </c>
      <c r="J677" s="44" t="s">
        <v>37</v>
      </c>
      <c r="K677" s="46" t="n">
        <f aca="false">IF(E677=TRUE(),1,0)</f>
        <v>0</v>
      </c>
      <c r="L677" s="44"/>
    </row>
    <row r="678" customFormat="false" ht="15" hidden="false" customHeight="true" outlineLevel="0" collapsed="false">
      <c r="A678" s="38" t="n">
        <v>677</v>
      </c>
      <c r="B678" s="39" t="s">
        <v>2068</v>
      </c>
      <c r="C678" s="39" t="s">
        <v>2069</v>
      </c>
      <c r="D678" s="39" t="s">
        <v>47</v>
      </c>
      <c r="E678" s="40" t="b">
        <f aca="false">TRUE()</f>
        <v>1</v>
      </c>
      <c r="F678" s="38" t="s">
        <v>40</v>
      </c>
      <c r="G678" s="38" t="n">
        <v>677</v>
      </c>
      <c r="H678" s="39" t="s">
        <v>2070</v>
      </c>
      <c r="I678" s="39" t="s">
        <v>46</v>
      </c>
      <c r="J678" s="39" t="s">
        <v>37</v>
      </c>
      <c r="K678" s="41" t="n">
        <f aca="false">IF(E678=TRUE(),1,0)</f>
        <v>1</v>
      </c>
      <c r="L678" s="42" t="n">
        <v>46218.6004282407</v>
      </c>
    </row>
    <row r="679" customFormat="false" ht="15" hidden="false" customHeight="true" outlineLevel="0" collapsed="false">
      <c r="A679" s="43" t="n">
        <v>678</v>
      </c>
      <c r="B679" s="44" t="s">
        <v>2071</v>
      </c>
      <c r="C679" s="44" t="s">
        <v>2072</v>
      </c>
      <c r="D679" s="44" t="s">
        <v>33</v>
      </c>
      <c r="E679" s="45" t="b">
        <f aca="false">FALSE()</f>
        <v>0</v>
      </c>
      <c r="F679" s="43" t="s">
        <v>44</v>
      </c>
      <c r="G679" s="43" t="n">
        <v>678</v>
      </c>
      <c r="H679" s="44" t="s">
        <v>2073</v>
      </c>
      <c r="I679" s="44" t="s">
        <v>46</v>
      </c>
      <c r="J679" s="44" t="s">
        <v>37</v>
      </c>
      <c r="K679" s="46" t="n">
        <f aca="false">IF(E679=TRUE(),1,0)</f>
        <v>0</v>
      </c>
      <c r="L679" s="44"/>
    </row>
    <row r="680" customFormat="false" ht="15" hidden="false" customHeight="true" outlineLevel="0" collapsed="false">
      <c r="A680" s="38" t="n">
        <v>679</v>
      </c>
      <c r="B680" s="39" t="s">
        <v>2074</v>
      </c>
      <c r="C680" s="39" t="s">
        <v>2075</v>
      </c>
      <c r="D680" s="39" t="s">
        <v>33</v>
      </c>
      <c r="E680" s="40" t="b">
        <f aca="false">FALSE()</f>
        <v>0</v>
      </c>
      <c r="F680" s="38" t="s">
        <v>34</v>
      </c>
      <c r="G680" s="38" t="n">
        <v>679</v>
      </c>
      <c r="H680" s="39" t="s">
        <v>2076</v>
      </c>
      <c r="I680" s="39" t="s">
        <v>36</v>
      </c>
      <c r="J680" s="39" t="s">
        <v>47</v>
      </c>
      <c r="K680" s="41" t="n">
        <f aca="false">IF(E680=TRUE(),1,0)</f>
        <v>0</v>
      </c>
      <c r="L680" s="39"/>
    </row>
    <row r="681" customFormat="false" ht="15" hidden="false" customHeight="true" outlineLevel="0" collapsed="false">
      <c r="A681" s="43" t="n">
        <v>680</v>
      </c>
      <c r="B681" s="44" t="s">
        <v>2077</v>
      </c>
      <c r="C681" s="44" t="s">
        <v>2078</v>
      </c>
      <c r="D681" s="44" t="s">
        <v>37</v>
      </c>
      <c r="E681" s="45" t="b">
        <f aca="false">TRUE()</f>
        <v>1</v>
      </c>
      <c r="F681" s="43" t="s">
        <v>44</v>
      </c>
      <c r="G681" s="43" t="n">
        <v>680</v>
      </c>
      <c r="H681" s="44" t="s">
        <v>2079</v>
      </c>
      <c r="I681" s="44" t="s">
        <v>57</v>
      </c>
      <c r="J681" s="44" t="s">
        <v>47</v>
      </c>
      <c r="K681" s="46" t="n">
        <f aca="false">IF(E681=TRUE(),1,0)</f>
        <v>1</v>
      </c>
      <c r="L681" s="47" t="n">
        <v>46218.6014351852</v>
      </c>
    </row>
    <row r="682" customFormat="false" ht="15" hidden="false" customHeight="true" outlineLevel="0" collapsed="false">
      <c r="A682" s="38" t="n">
        <v>681</v>
      </c>
      <c r="B682" s="39" t="s">
        <v>2080</v>
      </c>
      <c r="C682" s="39" t="s">
        <v>2081</v>
      </c>
      <c r="D682" s="39" t="s">
        <v>33</v>
      </c>
      <c r="E682" s="40" t="b">
        <f aca="false">TRUE()</f>
        <v>1</v>
      </c>
      <c r="F682" s="38" t="s">
        <v>44</v>
      </c>
      <c r="G682" s="38" t="n">
        <v>681</v>
      </c>
      <c r="H682" s="39" t="s">
        <v>2082</v>
      </c>
      <c r="I682" s="39" t="s">
        <v>57</v>
      </c>
      <c r="J682" s="39" t="s">
        <v>37</v>
      </c>
      <c r="K682" s="41" t="n">
        <f aca="false">IF(E682=TRUE(),1,0)</f>
        <v>1</v>
      </c>
      <c r="L682" s="42" t="n">
        <v>46218.6034837963</v>
      </c>
    </row>
    <row r="683" customFormat="false" ht="15" hidden="false" customHeight="true" outlineLevel="0" collapsed="false">
      <c r="A683" s="43" t="n">
        <v>682</v>
      </c>
      <c r="B683" s="44" t="s">
        <v>2083</v>
      </c>
      <c r="C683" s="44" t="s">
        <v>2084</v>
      </c>
      <c r="D683" s="44" t="s">
        <v>47</v>
      </c>
      <c r="E683" s="45" t="b">
        <f aca="false">FALSE()</f>
        <v>0</v>
      </c>
      <c r="F683" s="43" t="s">
        <v>34</v>
      </c>
      <c r="G683" s="43" t="n">
        <v>682</v>
      </c>
      <c r="H683" s="44" t="s">
        <v>2085</v>
      </c>
      <c r="I683" s="44" t="s">
        <v>57</v>
      </c>
      <c r="J683" s="44" t="s">
        <v>33</v>
      </c>
      <c r="K683" s="46" t="n">
        <f aca="false">IF(E683=TRUE(),1,0)</f>
        <v>0</v>
      </c>
      <c r="L683" s="44"/>
    </row>
    <row r="684" customFormat="false" ht="15" hidden="false" customHeight="true" outlineLevel="0" collapsed="false">
      <c r="A684" s="38" t="n">
        <v>683</v>
      </c>
      <c r="B684" s="39" t="s">
        <v>2086</v>
      </c>
      <c r="C684" s="39" t="s">
        <v>2087</v>
      </c>
      <c r="D684" s="39" t="s">
        <v>47</v>
      </c>
      <c r="E684" s="40" t="b">
        <f aca="false">TRUE()</f>
        <v>1</v>
      </c>
      <c r="F684" s="38" t="s">
        <v>44</v>
      </c>
      <c r="G684" s="38" t="n">
        <v>683</v>
      </c>
      <c r="H684" s="39" t="s">
        <v>2088</v>
      </c>
      <c r="I684" s="39" t="s">
        <v>57</v>
      </c>
      <c r="J684" s="39" t="s">
        <v>33</v>
      </c>
      <c r="K684" s="41" t="n">
        <f aca="false">IF(E684=TRUE(),1,0)</f>
        <v>1</v>
      </c>
      <c r="L684" s="42" t="n">
        <v>46218.6039583333</v>
      </c>
    </row>
    <row r="685" customFormat="false" ht="15" hidden="false" customHeight="true" outlineLevel="0" collapsed="false">
      <c r="A685" s="43" t="n">
        <v>684</v>
      </c>
      <c r="B685" s="44" t="s">
        <v>2089</v>
      </c>
      <c r="C685" s="44" t="s">
        <v>2090</v>
      </c>
      <c r="D685" s="44" t="s">
        <v>37</v>
      </c>
      <c r="E685" s="45" t="b">
        <f aca="false">FALSE()</f>
        <v>0</v>
      </c>
      <c r="F685" s="43" t="s">
        <v>40</v>
      </c>
      <c r="G685" s="43" t="n">
        <v>684</v>
      </c>
      <c r="H685" s="44" t="s">
        <v>2091</v>
      </c>
      <c r="I685" s="44" t="s">
        <v>46</v>
      </c>
      <c r="J685" s="44" t="s">
        <v>47</v>
      </c>
      <c r="K685" s="46" t="n">
        <f aca="false">IF(E685=TRUE(),1,0)</f>
        <v>0</v>
      </c>
      <c r="L685" s="44"/>
    </row>
    <row r="686" customFormat="false" ht="15" hidden="false" customHeight="true" outlineLevel="0" collapsed="false">
      <c r="A686" s="38" t="n">
        <v>685</v>
      </c>
      <c r="B686" s="39" t="s">
        <v>2092</v>
      </c>
      <c r="C686" s="39" t="s">
        <v>2093</v>
      </c>
      <c r="D686" s="39" t="s">
        <v>37</v>
      </c>
      <c r="E686" s="40" t="b">
        <f aca="false">TRUE()</f>
        <v>1</v>
      </c>
      <c r="F686" s="38" t="s">
        <v>40</v>
      </c>
      <c r="G686" s="38" t="n">
        <v>685</v>
      </c>
      <c r="H686" s="39" t="s">
        <v>2094</v>
      </c>
      <c r="I686" s="39" t="s">
        <v>57</v>
      </c>
      <c r="J686" s="39" t="s">
        <v>37</v>
      </c>
      <c r="K686" s="41" t="n">
        <f aca="false">IF(E686=TRUE(),1,0)</f>
        <v>1</v>
      </c>
      <c r="L686" s="42" t="n">
        <v>46218.6043981482</v>
      </c>
    </row>
    <row r="687" customFormat="false" ht="15" hidden="false" customHeight="true" outlineLevel="0" collapsed="false">
      <c r="A687" s="43" t="n">
        <v>686</v>
      </c>
      <c r="B687" s="44" t="s">
        <v>2095</v>
      </c>
      <c r="C687" s="44" t="s">
        <v>2096</v>
      </c>
      <c r="D687" s="44" t="s">
        <v>33</v>
      </c>
      <c r="E687" s="45" t="b">
        <f aca="false">TRUE()</f>
        <v>1</v>
      </c>
      <c r="F687" s="43" t="s">
        <v>44</v>
      </c>
      <c r="G687" s="43" t="n">
        <v>686</v>
      </c>
      <c r="H687" s="44" t="s">
        <v>2097</v>
      </c>
      <c r="I687" s="44" t="s">
        <v>46</v>
      </c>
      <c r="J687" s="44" t="s">
        <v>47</v>
      </c>
      <c r="K687" s="46" t="n">
        <f aca="false">IF(E687=TRUE(),1,0)</f>
        <v>1</v>
      </c>
      <c r="L687" s="47" t="n">
        <v>46218.6096527778</v>
      </c>
    </row>
    <row r="688" customFormat="false" ht="15" hidden="false" customHeight="true" outlineLevel="0" collapsed="false">
      <c r="A688" s="38" t="n">
        <v>687</v>
      </c>
      <c r="B688" s="39" t="s">
        <v>2098</v>
      </c>
      <c r="C688" s="39" t="s">
        <v>2099</v>
      </c>
      <c r="D688" s="39" t="s">
        <v>47</v>
      </c>
      <c r="E688" s="40" t="b">
        <f aca="false">FALSE()</f>
        <v>0</v>
      </c>
      <c r="F688" s="38" t="s">
        <v>34</v>
      </c>
      <c r="G688" s="38" t="n">
        <v>687</v>
      </c>
      <c r="H688" s="39" t="s">
        <v>2100</v>
      </c>
      <c r="I688" s="39" t="s">
        <v>36</v>
      </c>
      <c r="J688" s="39" t="s">
        <v>37</v>
      </c>
      <c r="K688" s="41" t="n">
        <f aca="false">IF(E688=TRUE(),1,0)</f>
        <v>0</v>
      </c>
      <c r="L688" s="39"/>
    </row>
    <row r="689" customFormat="false" ht="15" hidden="false" customHeight="true" outlineLevel="0" collapsed="false">
      <c r="A689" s="43" t="n">
        <v>688</v>
      </c>
      <c r="B689" s="44" t="s">
        <v>2101</v>
      </c>
      <c r="C689" s="44" t="s">
        <v>2102</v>
      </c>
      <c r="D689" s="44" t="s">
        <v>33</v>
      </c>
      <c r="E689" s="45" t="b">
        <f aca="false">TRUE()</f>
        <v>1</v>
      </c>
      <c r="F689" s="43" t="s">
        <v>34</v>
      </c>
      <c r="G689" s="43" t="n">
        <v>688</v>
      </c>
      <c r="H689" s="44" t="s">
        <v>2103</v>
      </c>
      <c r="I689" s="44" t="s">
        <v>46</v>
      </c>
      <c r="J689" s="44" t="s">
        <v>33</v>
      </c>
      <c r="K689" s="46" t="n">
        <f aca="false">IF(E689=TRUE(),1,0)</f>
        <v>1</v>
      </c>
      <c r="L689" s="47" t="n">
        <v>46218.6098726852</v>
      </c>
    </row>
    <row r="690" customFormat="false" ht="15" hidden="false" customHeight="true" outlineLevel="0" collapsed="false">
      <c r="A690" s="38" t="n">
        <v>689</v>
      </c>
      <c r="B690" s="39" t="s">
        <v>2104</v>
      </c>
      <c r="C690" s="39" t="s">
        <v>2105</v>
      </c>
      <c r="D690" s="39" t="s">
        <v>37</v>
      </c>
      <c r="E690" s="40" t="b">
        <f aca="false">FALSE()</f>
        <v>0</v>
      </c>
      <c r="F690" s="38" t="s">
        <v>40</v>
      </c>
      <c r="G690" s="38" t="n">
        <v>689</v>
      </c>
      <c r="H690" s="39" t="s">
        <v>2106</v>
      </c>
      <c r="I690" s="39" t="s">
        <v>57</v>
      </c>
      <c r="J690" s="39" t="s">
        <v>37</v>
      </c>
      <c r="K690" s="41" t="n">
        <f aca="false">IF(E690=TRUE(),1,0)</f>
        <v>0</v>
      </c>
      <c r="L690" s="39"/>
    </row>
    <row r="691" customFormat="false" ht="15" hidden="false" customHeight="true" outlineLevel="0" collapsed="false">
      <c r="A691" s="43" t="n">
        <v>690</v>
      </c>
      <c r="B691" s="44" t="s">
        <v>2107</v>
      </c>
      <c r="C691" s="44" t="s">
        <v>2108</v>
      </c>
      <c r="D691" s="44" t="s">
        <v>37</v>
      </c>
      <c r="E691" s="45" t="b">
        <f aca="false">TRUE()</f>
        <v>1</v>
      </c>
      <c r="F691" s="43" t="s">
        <v>44</v>
      </c>
      <c r="G691" s="43" t="n">
        <v>690</v>
      </c>
      <c r="H691" s="44" t="s">
        <v>2109</v>
      </c>
      <c r="I691" s="44" t="s">
        <v>57</v>
      </c>
      <c r="J691" s="44" t="s">
        <v>33</v>
      </c>
      <c r="K691" s="46" t="n">
        <f aca="false">IF(E691=TRUE(),1,0)</f>
        <v>1</v>
      </c>
      <c r="L691" s="47" t="n">
        <v>46218.6105787037</v>
      </c>
    </row>
    <row r="692" customFormat="false" ht="15" hidden="false" customHeight="true" outlineLevel="0" collapsed="false">
      <c r="A692" s="38" t="n">
        <v>691</v>
      </c>
      <c r="B692" s="39" t="s">
        <v>2110</v>
      </c>
      <c r="C692" s="39" t="s">
        <v>2111</v>
      </c>
      <c r="D692" s="39" t="s">
        <v>37</v>
      </c>
      <c r="E692" s="40" t="b">
        <f aca="false">FALSE()</f>
        <v>0</v>
      </c>
      <c r="F692" s="38" t="s">
        <v>44</v>
      </c>
      <c r="G692" s="38" t="n">
        <v>691</v>
      </c>
      <c r="H692" s="39" t="s">
        <v>2112</v>
      </c>
      <c r="I692" s="39" t="s">
        <v>46</v>
      </c>
      <c r="J692" s="39" t="s">
        <v>33</v>
      </c>
      <c r="K692" s="41" t="n">
        <f aca="false">IF(E692=TRUE(),1,0)</f>
        <v>0</v>
      </c>
      <c r="L692" s="39"/>
    </row>
    <row r="693" customFormat="false" ht="15" hidden="false" customHeight="true" outlineLevel="0" collapsed="false">
      <c r="A693" s="43" t="n">
        <v>692</v>
      </c>
      <c r="B693" s="44" t="s">
        <v>2113</v>
      </c>
      <c r="C693" s="44" t="s">
        <v>2114</v>
      </c>
      <c r="D693" s="44" t="s">
        <v>47</v>
      </c>
      <c r="E693" s="45" t="b">
        <f aca="false">FALSE()</f>
        <v>0</v>
      </c>
      <c r="F693" s="43" t="s">
        <v>44</v>
      </c>
      <c r="G693" s="43" t="n">
        <v>692</v>
      </c>
      <c r="H693" s="44" t="s">
        <v>2115</v>
      </c>
      <c r="I693" s="44" t="s">
        <v>57</v>
      </c>
      <c r="J693" s="44" t="s">
        <v>37</v>
      </c>
      <c r="K693" s="46" t="n">
        <f aca="false">IF(E693=TRUE(),1,0)</f>
        <v>0</v>
      </c>
      <c r="L693" s="44"/>
    </row>
    <row r="694" customFormat="false" ht="15" hidden="false" customHeight="true" outlineLevel="0" collapsed="false">
      <c r="A694" s="38" t="n">
        <v>693</v>
      </c>
      <c r="B694" s="39" t="s">
        <v>2116</v>
      </c>
      <c r="C694" s="39" t="s">
        <v>2117</v>
      </c>
      <c r="D694" s="39" t="s">
        <v>33</v>
      </c>
      <c r="E694" s="40" t="b">
        <f aca="false">TRUE()</f>
        <v>1</v>
      </c>
      <c r="F694" s="38" t="s">
        <v>40</v>
      </c>
      <c r="G694" s="38" t="n">
        <v>693</v>
      </c>
      <c r="H694" s="39" t="s">
        <v>2118</v>
      </c>
      <c r="I694" s="39" t="s">
        <v>36</v>
      </c>
      <c r="J694" s="39" t="s">
        <v>47</v>
      </c>
      <c r="K694" s="41" t="n">
        <f aca="false">IF(E694=TRUE(),1,0)</f>
        <v>1</v>
      </c>
      <c r="L694" s="42" t="n">
        <v>46218.6116666667</v>
      </c>
    </row>
    <row r="695" customFormat="false" ht="15" hidden="false" customHeight="true" outlineLevel="0" collapsed="false">
      <c r="A695" s="43" t="n">
        <v>694</v>
      </c>
      <c r="B695" s="44" t="s">
        <v>2119</v>
      </c>
      <c r="C695" s="44" t="s">
        <v>2120</v>
      </c>
      <c r="D695" s="44" t="s">
        <v>47</v>
      </c>
      <c r="E695" s="45" t="b">
        <f aca="false">TRUE()</f>
        <v>1</v>
      </c>
      <c r="F695" s="43" t="s">
        <v>40</v>
      </c>
      <c r="G695" s="43" t="n">
        <v>694</v>
      </c>
      <c r="H695" s="44" t="s">
        <v>2121</v>
      </c>
      <c r="I695" s="44" t="s">
        <v>57</v>
      </c>
      <c r="J695" s="44" t="s">
        <v>47</v>
      </c>
      <c r="K695" s="46" t="n">
        <f aca="false">IF(E695=TRUE(),1,0)</f>
        <v>1</v>
      </c>
      <c r="L695" s="47" t="n">
        <v>46218.6117013889</v>
      </c>
    </row>
    <row r="696" customFormat="false" ht="15" hidden="false" customHeight="true" outlineLevel="0" collapsed="false">
      <c r="A696" s="38" t="n">
        <v>695</v>
      </c>
      <c r="B696" s="39" t="s">
        <v>2122</v>
      </c>
      <c r="C696" s="39" t="s">
        <v>2123</v>
      </c>
      <c r="D696" s="39" t="s">
        <v>33</v>
      </c>
      <c r="E696" s="40" t="b">
        <f aca="false">FALSE()</f>
        <v>0</v>
      </c>
      <c r="F696" s="38" t="s">
        <v>40</v>
      </c>
      <c r="G696" s="38" t="n">
        <v>695</v>
      </c>
      <c r="H696" s="39" t="s">
        <v>2124</v>
      </c>
      <c r="I696" s="39" t="s">
        <v>46</v>
      </c>
      <c r="J696" s="39" t="s">
        <v>37</v>
      </c>
      <c r="K696" s="41" t="n">
        <f aca="false">IF(E696=TRUE(),1,0)</f>
        <v>0</v>
      </c>
      <c r="L696" s="39"/>
    </row>
    <row r="697" customFormat="false" ht="15" hidden="false" customHeight="true" outlineLevel="0" collapsed="false">
      <c r="A697" s="43" t="n">
        <v>696</v>
      </c>
      <c r="B697" s="44" t="s">
        <v>2125</v>
      </c>
      <c r="C697" s="44" t="s">
        <v>2126</v>
      </c>
      <c r="D697" s="44" t="s">
        <v>37</v>
      </c>
      <c r="E697" s="45" t="b">
        <f aca="false">TRUE()</f>
        <v>1</v>
      </c>
      <c r="F697" s="43" t="s">
        <v>40</v>
      </c>
      <c r="G697" s="43" t="n">
        <v>696</v>
      </c>
      <c r="H697" s="44" t="s">
        <v>2127</v>
      </c>
      <c r="I697" s="44" t="s">
        <v>57</v>
      </c>
      <c r="J697" s="44" t="s">
        <v>33</v>
      </c>
      <c r="K697" s="46" t="n">
        <f aca="false">IF(E697=TRUE(),1,0)</f>
        <v>1</v>
      </c>
      <c r="L697" s="47" t="n">
        <v>46218.611875</v>
      </c>
    </row>
    <row r="698" customFormat="false" ht="15" hidden="false" customHeight="true" outlineLevel="0" collapsed="false">
      <c r="A698" s="38" t="n">
        <v>697</v>
      </c>
      <c r="B698" s="39" t="s">
        <v>2128</v>
      </c>
      <c r="C698" s="39" t="s">
        <v>2129</v>
      </c>
      <c r="D698" s="39" t="s">
        <v>47</v>
      </c>
      <c r="E698" s="40" t="b">
        <f aca="false">TRUE()</f>
        <v>1</v>
      </c>
      <c r="F698" s="38" t="s">
        <v>40</v>
      </c>
      <c r="G698" s="38" t="n">
        <v>697</v>
      </c>
      <c r="H698" s="39" t="s">
        <v>2130</v>
      </c>
      <c r="I698" s="39" t="s">
        <v>36</v>
      </c>
      <c r="J698" s="39" t="s">
        <v>33</v>
      </c>
      <c r="K698" s="41" t="n">
        <f aca="false">IF(E698=TRUE(),1,0)</f>
        <v>1</v>
      </c>
      <c r="L698" s="42" t="n">
        <v>46218.6122222222</v>
      </c>
    </row>
    <row r="699" customFormat="false" ht="15" hidden="false" customHeight="true" outlineLevel="0" collapsed="false">
      <c r="A699" s="43" t="n">
        <v>698</v>
      </c>
      <c r="B699" s="44" t="s">
        <v>2131</v>
      </c>
      <c r="C699" s="44" t="s">
        <v>2132</v>
      </c>
      <c r="D699" s="44" t="s">
        <v>33</v>
      </c>
      <c r="E699" s="45" t="b">
        <f aca="false">FALSE()</f>
        <v>0</v>
      </c>
      <c r="F699" s="43" t="s">
        <v>40</v>
      </c>
      <c r="G699" s="43" t="n">
        <v>698</v>
      </c>
      <c r="H699" s="44" t="s">
        <v>2133</v>
      </c>
      <c r="I699" s="44" t="s">
        <v>46</v>
      </c>
      <c r="J699" s="44" t="s">
        <v>33</v>
      </c>
      <c r="K699" s="46" t="n">
        <f aca="false">IF(E699=TRUE(),1,0)</f>
        <v>0</v>
      </c>
      <c r="L699" s="44"/>
    </row>
    <row r="700" customFormat="false" ht="15" hidden="false" customHeight="true" outlineLevel="0" collapsed="false">
      <c r="A700" s="38" t="n">
        <v>699</v>
      </c>
      <c r="B700" s="39" t="s">
        <v>2134</v>
      </c>
      <c r="C700" s="39" t="s">
        <v>2135</v>
      </c>
      <c r="D700" s="39" t="s">
        <v>37</v>
      </c>
      <c r="E700" s="40" t="b">
        <f aca="false">TRUE()</f>
        <v>1</v>
      </c>
      <c r="F700" s="38" t="s">
        <v>34</v>
      </c>
      <c r="G700" s="38" t="n">
        <v>699</v>
      </c>
      <c r="H700" s="39" t="s">
        <v>2136</v>
      </c>
      <c r="I700" s="39" t="s">
        <v>57</v>
      </c>
      <c r="J700" s="39" t="s">
        <v>47</v>
      </c>
      <c r="K700" s="41" t="n">
        <f aca="false">IF(E700=TRUE(),1,0)</f>
        <v>1</v>
      </c>
      <c r="L700" s="42" t="n">
        <v>46218.6125231482</v>
      </c>
    </row>
    <row r="701" customFormat="false" ht="15" hidden="false" customHeight="true" outlineLevel="0" collapsed="false">
      <c r="A701" s="43" t="n">
        <v>700</v>
      </c>
      <c r="B701" s="44" t="s">
        <v>2137</v>
      </c>
      <c r="C701" s="44" t="s">
        <v>2138</v>
      </c>
      <c r="D701" s="44" t="s">
        <v>37</v>
      </c>
      <c r="E701" s="45" t="b">
        <f aca="false">TRUE()</f>
        <v>1</v>
      </c>
      <c r="F701" s="43" t="s">
        <v>44</v>
      </c>
      <c r="G701" s="43" t="n">
        <v>700</v>
      </c>
      <c r="H701" s="44" t="s">
        <v>2139</v>
      </c>
      <c r="I701" s="44" t="s">
        <v>46</v>
      </c>
      <c r="J701" s="44" t="s">
        <v>33</v>
      </c>
      <c r="K701" s="46" t="n">
        <f aca="false">IF(E701=TRUE(),1,0)</f>
        <v>1</v>
      </c>
      <c r="L701" s="47" t="n">
        <v>46218.6126157407</v>
      </c>
    </row>
    <row r="702" customFormat="false" ht="15" hidden="false" customHeight="true" outlineLevel="0" collapsed="false">
      <c r="A702" s="38" t="n">
        <v>701</v>
      </c>
      <c r="B702" s="39" t="s">
        <v>2140</v>
      </c>
      <c r="C702" s="39" t="s">
        <v>2141</v>
      </c>
      <c r="D702" s="39" t="s">
        <v>37</v>
      </c>
      <c r="E702" s="40" t="b">
        <f aca="false">FALSE()</f>
        <v>0</v>
      </c>
      <c r="F702" s="38" t="s">
        <v>34</v>
      </c>
      <c r="G702" s="38" t="n">
        <v>701</v>
      </c>
      <c r="H702" s="39" t="s">
        <v>2142</v>
      </c>
      <c r="I702" s="39" t="s">
        <v>46</v>
      </c>
      <c r="J702" s="39" t="s">
        <v>33</v>
      </c>
      <c r="K702" s="41" t="n">
        <f aca="false">IF(E702=TRUE(),1,0)</f>
        <v>0</v>
      </c>
      <c r="L702" s="39"/>
    </row>
    <row r="703" customFormat="false" ht="15" hidden="false" customHeight="true" outlineLevel="0" collapsed="false">
      <c r="A703" s="43" t="n">
        <v>702</v>
      </c>
      <c r="B703" s="44" t="s">
        <v>2143</v>
      </c>
      <c r="C703" s="44" t="s">
        <v>2144</v>
      </c>
      <c r="D703" s="44" t="s">
        <v>33</v>
      </c>
      <c r="E703" s="45" t="b">
        <f aca="false">TRUE()</f>
        <v>1</v>
      </c>
      <c r="F703" s="43" t="s">
        <v>44</v>
      </c>
      <c r="G703" s="43" t="n">
        <v>702</v>
      </c>
      <c r="H703" s="44" t="s">
        <v>2145</v>
      </c>
      <c r="I703" s="44" t="s">
        <v>57</v>
      </c>
      <c r="J703" s="44" t="s">
        <v>33</v>
      </c>
      <c r="K703" s="46" t="n">
        <f aca="false">IF(E703=TRUE(),1,0)</f>
        <v>1</v>
      </c>
      <c r="L703" s="47" t="n">
        <v>46218.6129513889</v>
      </c>
    </row>
    <row r="704" customFormat="false" ht="15" hidden="false" customHeight="true" outlineLevel="0" collapsed="false">
      <c r="A704" s="38" t="n">
        <v>703</v>
      </c>
      <c r="B704" s="39" t="s">
        <v>2146</v>
      </c>
      <c r="C704" s="39" t="s">
        <v>2147</v>
      </c>
      <c r="D704" s="39" t="s">
        <v>47</v>
      </c>
      <c r="E704" s="40" t="b">
        <f aca="false">TRUE()</f>
        <v>1</v>
      </c>
      <c r="F704" s="38" t="s">
        <v>44</v>
      </c>
      <c r="G704" s="38" t="n">
        <v>703</v>
      </c>
      <c r="H704" s="39" t="s">
        <v>2148</v>
      </c>
      <c r="I704" s="39" t="s">
        <v>36</v>
      </c>
      <c r="J704" s="39" t="s">
        <v>37</v>
      </c>
      <c r="K704" s="41" t="n">
        <f aca="false">IF(E704=TRUE(),1,0)</f>
        <v>1</v>
      </c>
      <c r="L704" s="42" t="n">
        <v>46218.6129513889</v>
      </c>
    </row>
    <row r="705" customFormat="false" ht="15" hidden="false" customHeight="true" outlineLevel="0" collapsed="false">
      <c r="A705" s="43" t="n">
        <v>704</v>
      </c>
      <c r="B705" s="44" t="s">
        <v>2149</v>
      </c>
      <c r="C705" s="44" t="s">
        <v>2150</v>
      </c>
      <c r="D705" s="44" t="s">
        <v>37</v>
      </c>
      <c r="E705" s="45" t="b">
        <f aca="false">TRUE()</f>
        <v>1</v>
      </c>
      <c r="F705" s="43" t="s">
        <v>34</v>
      </c>
      <c r="G705" s="43" t="n">
        <v>704</v>
      </c>
      <c r="H705" s="44" t="s">
        <v>2151</v>
      </c>
      <c r="I705" s="44" t="s">
        <v>57</v>
      </c>
      <c r="J705" s="44" t="s">
        <v>47</v>
      </c>
      <c r="K705" s="46" t="n">
        <f aca="false">IF(E705=TRUE(),1,0)</f>
        <v>1</v>
      </c>
      <c r="L705" s="47" t="n">
        <v>46218.6160648148</v>
      </c>
    </row>
    <row r="706" customFormat="false" ht="15" hidden="false" customHeight="true" outlineLevel="0" collapsed="false">
      <c r="A706" s="38" t="n">
        <v>705</v>
      </c>
      <c r="B706" s="39" t="s">
        <v>2152</v>
      </c>
      <c r="C706" s="39" t="s">
        <v>2153</v>
      </c>
      <c r="D706" s="39" t="s">
        <v>33</v>
      </c>
      <c r="E706" s="40" t="b">
        <f aca="false">FALSE()</f>
        <v>0</v>
      </c>
      <c r="F706" s="38" t="s">
        <v>34</v>
      </c>
      <c r="G706" s="38" t="n">
        <v>705</v>
      </c>
      <c r="H706" s="39" t="s">
        <v>2154</v>
      </c>
      <c r="I706" s="39" t="s">
        <v>57</v>
      </c>
      <c r="J706" s="39" t="s">
        <v>33</v>
      </c>
      <c r="K706" s="41" t="n">
        <f aca="false">IF(E706=TRUE(),1,0)</f>
        <v>0</v>
      </c>
      <c r="L706" s="39"/>
    </row>
    <row r="707" customFormat="false" ht="15" hidden="false" customHeight="true" outlineLevel="0" collapsed="false">
      <c r="A707" s="43" t="n">
        <v>706</v>
      </c>
      <c r="B707" s="44" t="s">
        <v>2155</v>
      </c>
      <c r="C707" s="44" t="s">
        <v>2156</v>
      </c>
      <c r="D707" s="44" t="s">
        <v>47</v>
      </c>
      <c r="E707" s="45" t="b">
        <f aca="false">TRUE()</f>
        <v>1</v>
      </c>
      <c r="F707" s="43" t="s">
        <v>44</v>
      </c>
      <c r="G707" s="43" t="n">
        <v>706</v>
      </c>
      <c r="H707" s="44" t="s">
        <v>2157</v>
      </c>
      <c r="I707" s="44" t="s">
        <v>36</v>
      </c>
      <c r="J707" s="44" t="s">
        <v>33</v>
      </c>
      <c r="K707" s="46" t="n">
        <f aca="false">IF(E707=TRUE(),1,0)</f>
        <v>1</v>
      </c>
      <c r="L707" s="47" t="n">
        <v>46218.6166319445</v>
      </c>
    </row>
    <row r="708" customFormat="false" ht="15" hidden="false" customHeight="true" outlineLevel="0" collapsed="false">
      <c r="A708" s="38" t="n">
        <v>707</v>
      </c>
      <c r="B708" s="39" t="s">
        <v>2158</v>
      </c>
      <c r="C708" s="39" t="s">
        <v>2159</v>
      </c>
      <c r="D708" s="39" t="s">
        <v>37</v>
      </c>
      <c r="E708" s="40" t="b">
        <f aca="false">TRUE()</f>
        <v>1</v>
      </c>
      <c r="F708" s="38" t="s">
        <v>44</v>
      </c>
      <c r="G708" s="38" t="n">
        <v>707</v>
      </c>
      <c r="H708" s="39" t="s">
        <v>2160</v>
      </c>
      <c r="I708" s="39" t="s">
        <v>57</v>
      </c>
      <c r="J708" s="39" t="s">
        <v>33</v>
      </c>
      <c r="K708" s="41" t="n">
        <f aca="false">IF(E708=TRUE(),1,0)</f>
        <v>1</v>
      </c>
      <c r="L708" s="42" t="n">
        <v>46218.617662037</v>
      </c>
    </row>
    <row r="709" customFormat="false" ht="15" hidden="false" customHeight="true" outlineLevel="0" collapsed="false">
      <c r="A709" s="43" t="n">
        <v>708</v>
      </c>
      <c r="B709" s="44" t="s">
        <v>2161</v>
      </c>
      <c r="C709" s="44" t="s">
        <v>2162</v>
      </c>
      <c r="D709" s="44" t="s">
        <v>37</v>
      </c>
      <c r="E709" s="45" t="b">
        <f aca="false">FALSE()</f>
        <v>0</v>
      </c>
      <c r="F709" s="43" t="s">
        <v>40</v>
      </c>
      <c r="G709" s="43" t="n">
        <v>708</v>
      </c>
      <c r="H709" s="44" t="s">
        <v>2163</v>
      </c>
      <c r="I709" s="44" t="s">
        <v>36</v>
      </c>
      <c r="J709" s="44" t="s">
        <v>37</v>
      </c>
      <c r="K709" s="46" t="n">
        <f aca="false">IF(E709=TRUE(),1,0)</f>
        <v>0</v>
      </c>
      <c r="L709" s="44"/>
    </row>
    <row r="710" customFormat="false" ht="15" hidden="false" customHeight="true" outlineLevel="0" collapsed="false">
      <c r="A710" s="38" t="n">
        <v>709</v>
      </c>
      <c r="B710" s="39" t="s">
        <v>2164</v>
      </c>
      <c r="C710" s="39" t="s">
        <v>2165</v>
      </c>
      <c r="D710" s="39" t="s">
        <v>37</v>
      </c>
      <c r="E710" s="40" t="b">
        <f aca="false">FALSE()</f>
        <v>0</v>
      </c>
      <c r="F710" s="38" t="s">
        <v>40</v>
      </c>
      <c r="G710" s="38" t="n">
        <v>709</v>
      </c>
      <c r="H710" s="39" t="s">
        <v>2166</v>
      </c>
      <c r="I710" s="39" t="s">
        <v>57</v>
      </c>
      <c r="J710" s="39" t="s">
        <v>33</v>
      </c>
      <c r="K710" s="41" t="n">
        <f aca="false">IF(E710=TRUE(),1,0)</f>
        <v>0</v>
      </c>
      <c r="L710" s="39"/>
    </row>
    <row r="711" customFormat="false" ht="15" hidden="false" customHeight="true" outlineLevel="0" collapsed="false">
      <c r="A711" s="43" t="n">
        <v>710</v>
      </c>
      <c r="B711" s="44" t="s">
        <v>2167</v>
      </c>
      <c r="C711" s="44" t="s">
        <v>2168</v>
      </c>
      <c r="D711" s="44" t="s">
        <v>47</v>
      </c>
      <c r="E711" s="45" t="b">
        <f aca="false">FALSE()</f>
        <v>0</v>
      </c>
      <c r="F711" s="43" t="s">
        <v>34</v>
      </c>
      <c r="G711" s="43" t="n">
        <v>710</v>
      </c>
      <c r="H711" s="44" t="s">
        <v>2169</v>
      </c>
      <c r="I711" s="44" t="s">
        <v>46</v>
      </c>
      <c r="J711" s="44" t="s">
        <v>47</v>
      </c>
      <c r="K711" s="46" t="n">
        <f aca="false">IF(E711=TRUE(),1,0)</f>
        <v>0</v>
      </c>
      <c r="L711" s="44"/>
    </row>
    <row r="712" customFormat="false" ht="15" hidden="false" customHeight="true" outlineLevel="0" collapsed="false">
      <c r="A712" s="38" t="n">
        <v>711</v>
      </c>
      <c r="B712" s="39" t="s">
        <v>2170</v>
      </c>
      <c r="C712" s="39" t="s">
        <v>2171</v>
      </c>
      <c r="D712" s="39" t="s">
        <v>33</v>
      </c>
      <c r="E712" s="40" t="b">
        <f aca="false">FALSE()</f>
        <v>0</v>
      </c>
      <c r="F712" s="38" t="s">
        <v>44</v>
      </c>
      <c r="G712" s="38" t="n">
        <v>711</v>
      </c>
      <c r="H712" s="39" t="s">
        <v>2172</v>
      </c>
      <c r="I712" s="39" t="s">
        <v>36</v>
      </c>
      <c r="J712" s="39" t="s">
        <v>37</v>
      </c>
      <c r="K712" s="41" t="n">
        <f aca="false">IF(E712=TRUE(),1,0)</f>
        <v>0</v>
      </c>
      <c r="L712" s="39"/>
    </row>
    <row r="713" customFormat="false" ht="15" hidden="false" customHeight="true" outlineLevel="0" collapsed="false">
      <c r="A713" s="43" t="n">
        <v>712</v>
      </c>
      <c r="B713" s="44" t="s">
        <v>2173</v>
      </c>
      <c r="C713" s="44" t="s">
        <v>2174</v>
      </c>
      <c r="D713" s="44" t="s">
        <v>47</v>
      </c>
      <c r="E713" s="45" t="b">
        <f aca="false">FALSE()</f>
        <v>0</v>
      </c>
      <c r="F713" s="43" t="s">
        <v>40</v>
      </c>
      <c r="G713" s="43" t="n">
        <v>712</v>
      </c>
      <c r="H713" s="44" t="s">
        <v>2175</v>
      </c>
      <c r="I713" s="44" t="s">
        <v>46</v>
      </c>
      <c r="J713" s="44" t="s">
        <v>37</v>
      </c>
      <c r="K713" s="46" t="n">
        <f aca="false">IF(E713=TRUE(),1,0)</f>
        <v>0</v>
      </c>
      <c r="L713" s="44"/>
    </row>
    <row r="714" customFormat="false" ht="15" hidden="false" customHeight="true" outlineLevel="0" collapsed="false">
      <c r="A714" s="38" t="n">
        <v>713</v>
      </c>
      <c r="B714" s="39" t="s">
        <v>2176</v>
      </c>
      <c r="C714" s="39" t="s">
        <v>2177</v>
      </c>
      <c r="D714" s="39" t="s">
        <v>33</v>
      </c>
      <c r="E714" s="40" t="b">
        <f aca="false">FALSE()</f>
        <v>0</v>
      </c>
      <c r="F714" s="38" t="s">
        <v>44</v>
      </c>
      <c r="G714" s="38" t="n">
        <v>713</v>
      </c>
      <c r="H714" s="39" t="s">
        <v>2178</v>
      </c>
      <c r="I714" s="39" t="s">
        <v>57</v>
      </c>
      <c r="J714" s="39" t="s">
        <v>47</v>
      </c>
      <c r="K714" s="41" t="n">
        <f aca="false">IF(E714=TRUE(),1,0)</f>
        <v>0</v>
      </c>
      <c r="L714" s="39"/>
    </row>
    <row r="715" customFormat="false" ht="15" hidden="false" customHeight="true" outlineLevel="0" collapsed="false">
      <c r="A715" s="43" t="n">
        <v>714</v>
      </c>
      <c r="B715" s="44" t="s">
        <v>2179</v>
      </c>
      <c r="C715" s="44" t="s">
        <v>2180</v>
      </c>
      <c r="D715" s="44" t="s">
        <v>47</v>
      </c>
      <c r="E715" s="45" t="b">
        <f aca="false">FALSE()</f>
        <v>0</v>
      </c>
      <c r="F715" s="43" t="s">
        <v>44</v>
      </c>
      <c r="G715" s="43" t="n">
        <v>714</v>
      </c>
      <c r="H715" s="44" t="s">
        <v>2181</v>
      </c>
      <c r="I715" s="44" t="s">
        <v>57</v>
      </c>
      <c r="J715" s="44" t="s">
        <v>37</v>
      </c>
      <c r="K715" s="46" t="n">
        <f aca="false">IF(E715=TRUE(),1,0)</f>
        <v>0</v>
      </c>
      <c r="L715" s="44"/>
    </row>
    <row r="716" customFormat="false" ht="15" hidden="false" customHeight="true" outlineLevel="0" collapsed="false">
      <c r="A716" s="38" t="n">
        <v>715</v>
      </c>
      <c r="B716" s="39" t="s">
        <v>2182</v>
      </c>
      <c r="C716" s="39" t="s">
        <v>2183</v>
      </c>
      <c r="D716" s="39" t="s">
        <v>37</v>
      </c>
      <c r="E716" s="40" t="b">
        <f aca="false">TRUE()</f>
        <v>1</v>
      </c>
      <c r="F716" s="38" t="s">
        <v>40</v>
      </c>
      <c r="G716" s="38" t="n">
        <v>715</v>
      </c>
      <c r="H716" s="39" t="s">
        <v>2184</v>
      </c>
      <c r="I716" s="39" t="s">
        <v>36</v>
      </c>
      <c r="J716" s="39" t="s">
        <v>37</v>
      </c>
      <c r="K716" s="41" t="n">
        <f aca="false">IF(E716=TRUE(),1,0)</f>
        <v>1</v>
      </c>
      <c r="L716" s="42" t="n">
        <v>46218.6177430556</v>
      </c>
    </row>
    <row r="717" customFormat="false" ht="15" hidden="false" customHeight="true" outlineLevel="0" collapsed="false">
      <c r="A717" s="43" t="n">
        <v>716</v>
      </c>
      <c r="B717" s="44" t="s">
        <v>2185</v>
      </c>
      <c r="C717" s="44" t="s">
        <v>2186</v>
      </c>
      <c r="D717" s="44" t="s">
        <v>33</v>
      </c>
      <c r="E717" s="45" t="b">
        <f aca="false">FALSE()</f>
        <v>0</v>
      </c>
      <c r="F717" s="43" t="s">
        <v>40</v>
      </c>
      <c r="G717" s="43" t="n">
        <v>716</v>
      </c>
      <c r="H717" s="44" t="s">
        <v>2187</v>
      </c>
      <c r="I717" s="44" t="s">
        <v>57</v>
      </c>
      <c r="J717" s="44" t="s">
        <v>37</v>
      </c>
      <c r="K717" s="46" t="n">
        <f aca="false">IF(E717=TRUE(),1,0)</f>
        <v>0</v>
      </c>
      <c r="L717" s="44"/>
    </row>
    <row r="718" customFormat="false" ht="15" hidden="false" customHeight="true" outlineLevel="0" collapsed="false">
      <c r="A718" s="38" t="n">
        <v>717</v>
      </c>
      <c r="B718" s="39" t="s">
        <v>2188</v>
      </c>
      <c r="C718" s="39" t="s">
        <v>2189</v>
      </c>
      <c r="D718" s="39" t="s">
        <v>47</v>
      </c>
      <c r="E718" s="40" t="b">
        <f aca="false">FALSE()</f>
        <v>0</v>
      </c>
      <c r="F718" s="38" t="s">
        <v>40</v>
      </c>
      <c r="G718" s="38" t="n">
        <v>717</v>
      </c>
      <c r="H718" s="39" t="s">
        <v>2190</v>
      </c>
      <c r="I718" s="39" t="s">
        <v>57</v>
      </c>
      <c r="J718" s="39" t="s">
        <v>33</v>
      </c>
      <c r="K718" s="41" t="n">
        <f aca="false">IF(E718=TRUE(),1,0)</f>
        <v>0</v>
      </c>
      <c r="L718" s="39"/>
    </row>
    <row r="719" customFormat="false" ht="15" hidden="false" customHeight="true" outlineLevel="0" collapsed="false">
      <c r="A719" s="43" t="n">
        <v>718</v>
      </c>
      <c r="B719" s="44" t="s">
        <v>2191</v>
      </c>
      <c r="C719" s="44" t="s">
        <v>2192</v>
      </c>
      <c r="D719" s="44" t="s">
        <v>37</v>
      </c>
      <c r="E719" s="45" t="b">
        <f aca="false">FALSE()</f>
        <v>0</v>
      </c>
      <c r="F719" s="43" t="s">
        <v>44</v>
      </c>
      <c r="G719" s="43" t="n">
        <v>718</v>
      </c>
      <c r="H719" s="44" t="s">
        <v>2193</v>
      </c>
      <c r="I719" s="44" t="s">
        <v>36</v>
      </c>
      <c r="J719" s="44" t="s">
        <v>33</v>
      </c>
      <c r="K719" s="46" t="n">
        <f aca="false">IF(E719=TRUE(),1,0)</f>
        <v>0</v>
      </c>
      <c r="L719" s="44"/>
    </row>
    <row r="720" customFormat="false" ht="15" hidden="false" customHeight="true" outlineLevel="0" collapsed="false">
      <c r="A720" s="38" t="n">
        <v>719</v>
      </c>
      <c r="B720" s="39" t="s">
        <v>2194</v>
      </c>
      <c r="C720" s="39" t="s">
        <v>2195</v>
      </c>
      <c r="D720" s="39" t="s">
        <v>33</v>
      </c>
      <c r="E720" s="40" t="b">
        <f aca="false">FALSE()</f>
        <v>0</v>
      </c>
      <c r="F720" s="38" t="s">
        <v>34</v>
      </c>
      <c r="G720" s="38" t="n">
        <v>719</v>
      </c>
      <c r="H720" s="39" t="s">
        <v>2196</v>
      </c>
      <c r="I720" s="39" t="s">
        <v>57</v>
      </c>
      <c r="J720" s="39" t="s">
        <v>47</v>
      </c>
      <c r="K720" s="41" t="n">
        <f aca="false">IF(E720=TRUE(),1,0)</f>
        <v>0</v>
      </c>
      <c r="L720" s="39"/>
    </row>
    <row r="721" customFormat="false" ht="15" hidden="false" customHeight="true" outlineLevel="0" collapsed="false">
      <c r="A721" s="43" t="n">
        <v>720</v>
      </c>
      <c r="B721" s="44" t="s">
        <v>2197</v>
      </c>
      <c r="C721" s="44" t="s">
        <v>2198</v>
      </c>
      <c r="D721" s="44" t="s">
        <v>37</v>
      </c>
      <c r="E721" s="45" t="b">
        <f aca="false">FALSE()</f>
        <v>0</v>
      </c>
      <c r="F721" s="43" t="s">
        <v>44</v>
      </c>
      <c r="G721" s="43" t="n">
        <v>720</v>
      </c>
      <c r="H721" s="44" t="s">
        <v>2199</v>
      </c>
      <c r="I721" s="44" t="s">
        <v>36</v>
      </c>
      <c r="J721" s="44" t="s">
        <v>47</v>
      </c>
      <c r="K721" s="46" t="n">
        <f aca="false">IF(E721=TRUE(),1,0)</f>
        <v>0</v>
      </c>
      <c r="L721" s="44"/>
    </row>
    <row r="722" customFormat="false" ht="15" hidden="false" customHeight="true" outlineLevel="0" collapsed="false">
      <c r="A722" s="38" t="n">
        <v>721</v>
      </c>
      <c r="B722" s="39" t="s">
        <v>2200</v>
      </c>
      <c r="C722" s="39" t="s">
        <v>2201</v>
      </c>
      <c r="D722" s="39" t="s">
        <v>37</v>
      </c>
      <c r="E722" s="40" t="b">
        <f aca="false">FALSE()</f>
        <v>0</v>
      </c>
      <c r="F722" s="38" t="s">
        <v>34</v>
      </c>
      <c r="G722" s="38" t="n">
        <v>721</v>
      </c>
      <c r="H722" s="39" t="s">
        <v>2202</v>
      </c>
      <c r="I722" s="39" t="s">
        <v>57</v>
      </c>
      <c r="J722" s="39" t="s">
        <v>47</v>
      </c>
      <c r="K722" s="41" t="n">
        <f aca="false">IF(E722=TRUE(),1,0)</f>
        <v>0</v>
      </c>
      <c r="L722" s="39"/>
    </row>
    <row r="723" customFormat="false" ht="15" hidden="false" customHeight="true" outlineLevel="0" collapsed="false">
      <c r="A723" s="43" t="n">
        <v>722</v>
      </c>
      <c r="B723" s="44" t="s">
        <v>2203</v>
      </c>
      <c r="C723" s="44" t="s">
        <v>2204</v>
      </c>
      <c r="D723" s="44" t="s">
        <v>37</v>
      </c>
      <c r="E723" s="45" t="b">
        <f aca="false">TRUE()</f>
        <v>1</v>
      </c>
      <c r="F723" s="43" t="s">
        <v>44</v>
      </c>
      <c r="G723" s="43" t="n">
        <v>722</v>
      </c>
      <c r="H723" s="44" t="s">
        <v>2205</v>
      </c>
      <c r="I723" s="44" t="s">
        <v>46</v>
      </c>
      <c r="J723" s="44" t="s">
        <v>47</v>
      </c>
      <c r="K723" s="46" t="n">
        <f aca="false">IF(E723=TRUE(),1,0)</f>
        <v>1</v>
      </c>
      <c r="L723" s="47" t="n">
        <v>46218.6186226852</v>
      </c>
    </row>
    <row r="724" customFormat="false" ht="15" hidden="false" customHeight="true" outlineLevel="0" collapsed="false">
      <c r="A724" s="38" t="n">
        <v>723</v>
      </c>
      <c r="B724" s="39" t="s">
        <v>2206</v>
      </c>
      <c r="C724" s="39" t="s">
        <v>2207</v>
      </c>
      <c r="D724" s="39" t="s">
        <v>33</v>
      </c>
      <c r="E724" s="40" t="b">
        <f aca="false">FALSE()</f>
        <v>0</v>
      </c>
      <c r="F724" s="38" t="s">
        <v>44</v>
      </c>
      <c r="G724" s="38" t="n">
        <v>723</v>
      </c>
      <c r="H724" s="39" t="s">
        <v>2208</v>
      </c>
      <c r="I724" s="39" t="s">
        <v>36</v>
      </c>
      <c r="J724" s="39" t="s">
        <v>47</v>
      </c>
      <c r="K724" s="41" t="n">
        <f aca="false">IF(E724=TRUE(),1,0)</f>
        <v>0</v>
      </c>
      <c r="L724" s="39"/>
    </row>
    <row r="725" customFormat="false" ht="15" hidden="false" customHeight="true" outlineLevel="0" collapsed="false">
      <c r="A725" s="43" t="n">
        <v>724</v>
      </c>
      <c r="B725" s="44" t="s">
        <v>2209</v>
      </c>
      <c r="C725" s="44" t="s">
        <v>2210</v>
      </c>
      <c r="D725" s="44" t="s">
        <v>47</v>
      </c>
      <c r="E725" s="45" t="b">
        <f aca="false">FALSE()</f>
        <v>0</v>
      </c>
      <c r="F725" s="43" t="s">
        <v>44</v>
      </c>
      <c r="G725" s="43" t="n">
        <v>724</v>
      </c>
      <c r="H725" s="44" t="s">
        <v>2211</v>
      </c>
      <c r="I725" s="44" t="s">
        <v>36</v>
      </c>
      <c r="J725" s="44" t="s">
        <v>33</v>
      </c>
      <c r="K725" s="46" t="n">
        <f aca="false">IF(E725=TRUE(),1,0)</f>
        <v>0</v>
      </c>
      <c r="L725" s="44"/>
    </row>
    <row r="726" customFormat="false" ht="15" hidden="false" customHeight="true" outlineLevel="0" collapsed="false">
      <c r="A726" s="38" t="n">
        <v>725</v>
      </c>
      <c r="B726" s="39" t="s">
        <v>2212</v>
      </c>
      <c r="C726" s="39" t="s">
        <v>2213</v>
      </c>
      <c r="D726" s="39" t="s">
        <v>47</v>
      </c>
      <c r="E726" s="40" t="b">
        <f aca="false">TRUE()</f>
        <v>1</v>
      </c>
      <c r="F726" s="38" t="s">
        <v>40</v>
      </c>
      <c r="G726" s="38" t="n">
        <v>725</v>
      </c>
      <c r="H726" s="39" t="s">
        <v>2214</v>
      </c>
      <c r="I726" s="39" t="s">
        <v>36</v>
      </c>
      <c r="J726" s="39" t="s">
        <v>47</v>
      </c>
      <c r="K726" s="41" t="n">
        <f aca="false">IF(E726=TRUE(),1,0)</f>
        <v>1</v>
      </c>
      <c r="L726" s="42" t="n">
        <v>46218.6188078704</v>
      </c>
    </row>
    <row r="727" customFormat="false" ht="15" hidden="false" customHeight="true" outlineLevel="0" collapsed="false">
      <c r="A727" s="43" t="n">
        <v>726</v>
      </c>
      <c r="B727" s="44" t="s">
        <v>2215</v>
      </c>
      <c r="C727" s="44" t="s">
        <v>2216</v>
      </c>
      <c r="D727" s="44" t="s">
        <v>37</v>
      </c>
      <c r="E727" s="45" t="b">
        <f aca="false">FALSE()</f>
        <v>0</v>
      </c>
      <c r="F727" s="43" t="s">
        <v>44</v>
      </c>
      <c r="G727" s="43" t="n">
        <v>726</v>
      </c>
      <c r="H727" s="44" t="s">
        <v>2217</v>
      </c>
      <c r="I727" s="44" t="s">
        <v>46</v>
      </c>
      <c r="J727" s="44" t="s">
        <v>47</v>
      </c>
      <c r="K727" s="46" t="n">
        <f aca="false">IF(E727=TRUE(),1,0)</f>
        <v>0</v>
      </c>
      <c r="L727" s="44"/>
    </row>
    <row r="728" customFormat="false" ht="15" hidden="false" customHeight="true" outlineLevel="0" collapsed="false">
      <c r="A728" s="38" t="n">
        <v>727</v>
      </c>
      <c r="B728" s="39" t="s">
        <v>2218</v>
      </c>
      <c r="C728" s="39" t="s">
        <v>2219</v>
      </c>
      <c r="D728" s="39" t="s">
        <v>33</v>
      </c>
      <c r="E728" s="40" t="b">
        <f aca="false">TRUE()</f>
        <v>1</v>
      </c>
      <c r="F728" s="38" t="s">
        <v>34</v>
      </c>
      <c r="G728" s="38" t="n">
        <v>727</v>
      </c>
      <c r="H728" s="39" t="s">
        <v>2220</v>
      </c>
      <c r="I728" s="39" t="s">
        <v>57</v>
      </c>
      <c r="J728" s="39" t="s">
        <v>47</v>
      </c>
      <c r="K728" s="41" t="n">
        <f aca="false">IF(E728=TRUE(),1,0)</f>
        <v>1</v>
      </c>
      <c r="L728" s="42" t="n">
        <v>46218.6212847222</v>
      </c>
    </row>
    <row r="729" customFormat="false" ht="15" hidden="false" customHeight="true" outlineLevel="0" collapsed="false">
      <c r="A729" s="43" t="n">
        <v>728</v>
      </c>
      <c r="B729" s="44" t="s">
        <v>2221</v>
      </c>
      <c r="C729" s="44" t="s">
        <v>2222</v>
      </c>
      <c r="D729" s="44" t="s">
        <v>47</v>
      </c>
      <c r="E729" s="45" t="b">
        <f aca="false">FALSE()</f>
        <v>0</v>
      </c>
      <c r="F729" s="43" t="s">
        <v>44</v>
      </c>
      <c r="G729" s="43" t="n">
        <v>728</v>
      </c>
      <c r="H729" s="44" t="s">
        <v>2223</v>
      </c>
      <c r="I729" s="44" t="s">
        <v>36</v>
      </c>
      <c r="J729" s="44" t="s">
        <v>33</v>
      </c>
      <c r="K729" s="46" t="n">
        <f aca="false">IF(E729=TRUE(),1,0)</f>
        <v>0</v>
      </c>
      <c r="L729" s="44"/>
    </row>
    <row r="730" customFormat="false" ht="15" hidden="false" customHeight="true" outlineLevel="0" collapsed="false">
      <c r="A730" s="38" t="n">
        <v>729</v>
      </c>
      <c r="B730" s="39" t="s">
        <v>2224</v>
      </c>
      <c r="C730" s="39" t="s">
        <v>2225</v>
      </c>
      <c r="D730" s="39" t="s">
        <v>37</v>
      </c>
      <c r="E730" s="40" t="b">
        <f aca="false">FALSE()</f>
        <v>0</v>
      </c>
      <c r="F730" s="38" t="s">
        <v>34</v>
      </c>
      <c r="G730" s="38" t="n">
        <v>729</v>
      </c>
      <c r="H730" s="39" t="s">
        <v>2226</v>
      </c>
      <c r="I730" s="39" t="s">
        <v>57</v>
      </c>
      <c r="J730" s="39" t="s">
        <v>47</v>
      </c>
      <c r="K730" s="41" t="n">
        <f aca="false">IF(E730=TRUE(),1,0)</f>
        <v>0</v>
      </c>
      <c r="L730" s="39"/>
    </row>
    <row r="731" customFormat="false" ht="15" hidden="false" customHeight="true" outlineLevel="0" collapsed="false">
      <c r="A731" s="43" t="n">
        <v>730</v>
      </c>
      <c r="B731" s="44" t="s">
        <v>2227</v>
      </c>
      <c r="C731" s="44" t="s">
        <v>2228</v>
      </c>
      <c r="D731" s="44" t="s">
        <v>37</v>
      </c>
      <c r="E731" s="45" t="b">
        <f aca="false">FALSE()</f>
        <v>0</v>
      </c>
      <c r="F731" s="43" t="s">
        <v>34</v>
      </c>
      <c r="G731" s="43" t="n">
        <v>730</v>
      </c>
      <c r="H731" s="44" t="s">
        <v>2229</v>
      </c>
      <c r="I731" s="44" t="s">
        <v>46</v>
      </c>
      <c r="J731" s="44" t="s">
        <v>37</v>
      </c>
      <c r="K731" s="46" t="n">
        <f aca="false">IF(E731=TRUE(),1,0)</f>
        <v>0</v>
      </c>
      <c r="L731" s="44"/>
    </row>
    <row r="732" customFormat="false" ht="15" hidden="false" customHeight="true" outlineLevel="0" collapsed="false">
      <c r="A732" s="38" t="n">
        <v>731</v>
      </c>
      <c r="B732" s="39" t="s">
        <v>2230</v>
      </c>
      <c r="C732" s="39" t="s">
        <v>2231</v>
      </c>
      <c r="D732" s="39" t="s">
        <v>37</v>
      </c>
      <c r="E732" s="40" t="b">
        <f aca="false">FALSE()</f>
        <v>0</v>
      </c>
      <c r="F732" s="38" t="s">
        <v>34</v>
      </c>
      <c r="G732" s="38" t="n">
        <v>731</v>
      </c>
      <c r="H732" s="39" t="s">
        <v>2232</v>
      </c>
      <c r="I732" s="39" t="s">
        <v>57</v>
      </c>
      <c r="J732" s="39" t="s">
        <v>33</v>
      </c>
      <c r="K732" s="41" t="n">
        <f aca="false">IF(E732=TRUE(),1,0)</f>
        <v>0</v>
      </c>
      <c r="L732" s="39"/>
    </row>
    <row r="733" customFormat="false" ht="15" hidden="false" customHeight="true" outlineLevel="0" collapsed="false">
      <c r="A733" s="43" t="n">
        <v>732</v>
      </c>
      <c r="B733" s="44" t="s">
        <v>2233</v>
      </c>
      <c r="C733" s="44" t="s">
        <v>2234</v>
      </c>
      <c r="D733" s="44" t="s">
        <v>47</v>
      </c>
      <c r="E733" s="45" t="b">
        <f aca="false">FALSE()</f>
        <v>0</v>
      </c>
      <c r="F733" s="43" t="s">
        <v>40</v>
      </c>
      <c r="G733" s="43" t="n">
        <v>732</v>
      </c>
      <c r="H733" s="44" t="s">
        <v>2235</v>
      </c>
      <c r="I733" s="44" t="s">
        <v>36</v>
      </c>
      <c r="J733" s="44" t="s">
        <v>37</v>
      </c>
      <c r="K733" s="46" t="n">
        <f aca="false">IF(E733=TRUE(),1,0)</f>
        <v>0</v>
      </c>
      <c r="L733" s="44"/>
    </row>
    <row r="734" customFormat="false" ht="15" hidden="false" customHeight="true" outlineLevel="0" collapsed="false">
      <c r="A734" s="38" t="n">
        <v>733</v>
      </c>
      <c r="B734" s="39" t="s">
        <v>2236</v>
      </c>
      <c r="C734" s="39" t="s">
        <v>2237</v>
      </c>
      <c r="D734" s="39" t="s">
        <v>37</v>
      </c>
      <c r="E734" s="40" t="b">
        <f aca="false">TRUE()</f>
        <v>1</v>
      </c>
      <c r="F734" s="38" t="s">
        <v>34</v>
      </c>
      <c r="G734" s="38" t="n">
        <v>733</v>
      </c>
      <c r="H734" s="39" t="s">
        <v>2238</v>
      </c>
      <c r="I734" s="39" t="s">
        <v>36</v>
      </c>
      <c r="J734" s="39" t="s">
        <v>37</v>
      </c>
      <c r="K734" s="41" t="n">
        <f aca="false">IF(E734=TRUE(),1,0)</f>
        <v>1</v>
      </c>
      <c r="L734" s="42" t="n">
        <v>46218.6214351852</v>
      </c>
    </row>
    <row r="735" customFormat="false" ht="15" hidden="false" customHeight="true" outlineLevel="0" collapsed="false">
      <c r="A735" s="43" t="n">
        <v>734</v>
      </c>
      <c r="B735" s="44" t="s">
        <v>2239</v>
      </c>
      <c r="C735" s="44" t="s">
        <v>2240</v>
      </c>
      <c r="D735" s="44" t="s">
        <v>47</v>
      </c>
      <c r="E735" s="45" t="b">
        <f aca="false">TRUE()</f>
        <v>1</v>
      </c>
      <c r="F735" s="43" t="s">
        <v>44</v>
      </c>
      <c r="G735" s="43" t="n">
        <v>734</v>
      </c>
      <c r="H735" s="44" t="s">
        <v>2241</v>
      </c>
      <c r="I735" s="44" t="s">
        <v>57</v>
      </c>
      <c r="J735" s="44" t="s">
        <v>47</v>
      </c>
      <c r="K735" s="46" t="n">
        <f aca="false">IF(E735=TRUE(),1,0)</f>
        <v>1</v>
      </c>
      <c r="L735" s="47" t="n">
        <v>46218.6224189815</v>
      </c>
    </row>
    <row r="736" customFormat="false" ht="15" hidden="false" customHeight="true" outlineLevel="0" collapsed="false">
      <c r="A736" s="38" t="n">
        <v>735</v>
      </c>
      <c r="B736" s="39" t="s">
        <v>2242</v>
      </c>
      <c r="C736" s="39" t="s">
        <v>2243</v>
      </c>
      <c r="D736" s="39" t="s">
        <v>47</v>
      </c>
      <c r="E736" s="40" t="b">
        <f aca="false">TRUE()</f>
        <v>1</v>
      </c>
      <c r="F736" s="38" t="s">
        <v>44</v>
      </c>
      <c r="G736" s="38" t="n">
        <v>735</v>
      </c>
      <c r="H736" s="39" t="s">
        <v>2244</v>
      </c>
      <c r="I736" s="39" t="s">
        <v>46</v>
      </c>
      <c r="J736" s="39" t="s">
        <v>33</v>
      </c>
      <c r="K736" s="41" t="n">
        <f aca="false">IF(E736=TRUE(),1,0)</f>
        <v>1</v>
      </c>
      <c r="L736" s="42" t="n">
        <v>46218.6226736111</v>
      </c>
    </row>
    <row r="737" customFormat="false" ht="15" hidden="false" customHeight="true" outlineLevel="0" collapsed="false">
      <c r="A737" s="43" t="n">
        <v>736</v>
      </c>
      <c r="B737" s="44" t="s">
        <v>2245</v>
      </c>
      <c r="C737" s="44" t="s">
        <v>2246</v>
      </c>
      <c r="D737" s="44" t="s">
        <v>33</v>
      </c>
      <c r="E737" s="45" t="b">
        <f aca="false">FALSE()</f>
        <v>0</v>
      </c>
      <c r="F737" s="43" t="s">
        <v>44</v>
      </c>
      <c r="G737" s="43" t="n">
        <v>736</v>
      </c>
      <c r="H737" s="44" t="s">
        <v>2247</v>
      </c>
      <c r="I737" s="44" t="s">
        <v>57</v>
      </c>
      <c r="J737" s="44" t="s">
        <v>33</v>
      </c>
      <c r="K737" s="46" t="n">
        <f aca="false">IF(E737=TRUE(),1,0)</f>
        <v>0</v>
      </c>
      <c r="L737" s="44"/>
    </row>
    <row r="738" customFormat="false" ht="15" hidden="false" customHeight="true" outlineLevel="0" collapsed="false">
      <c r="A738" s="38" t="n">
        <v>737</v>
      </c>
      <c r="B738" s="39" t="s">
        <v>2248</v>
      </c>
      <c r="C738" s="39" t="s">
        <v>2249</v>
      </c>
      <c r="D738" s="39" t="s">
        <v>33</v>
      </c>
      <c r="E738" s="40" t="b">
        <f aca="false">FALSE()</f>
        <v>0</v>
      </c>
      <c r="F738" s="38" t="s">
        <v>44</v>
      </c>
      <c r="G738" s="38" t="n">
        <v>737</v>
      </c>
      <c r="H738" s="39" t="s">
        <v>2250</v>
      </c>
      <c r="I738" s="39" t="s">
        <v>57</v>
      </c>
      <c r="J738" s="39" t="s">
        <v>33</v>
      </c>
      <c r="K738" s="41" t="n">
        <f aca="false">IF(E738=TRUE(),1,0)</f>
        <v>0</v>
      </c>
      <c r="L738" s="39"/>
    </row>
    <row r="739" customFormat="false" ht="15" hidden="false" customHeight="true" outlineLevel="0" collapsed="false">
      <c r="A739" s="43" t="n">
        <v>738</v>
      </c>
      <c r="B739" s="44" t="s">
        <v>2251</v>
      </c>
      <c r="C739" s="44" t="s">
        <v>2252</v>
      </c>
      <c r="D739" s="44" t="s">
        <v>37</v>
      </c>
      <c r="E739" s="45" t="b">
        <f aca="false">TRUE()</f>
        <v>1</v>
      </c>
      <c r="F739" s="43" t="s">
        <v>44</v>
      </c>
      <c r="G739" s="43" t="n">
        <v>738</v>
      </c>
      <c r="H739" s="44" t="s">
        <v>2253</v>
      </c>
      <c r="I739" s="44" t="s">
        <v>57</v>
      </c>
      <c r="J739" s="44" t="s">
        <v>37</v>
      </c>
      <c r="K739" s="46" t="n">
        <f aca="false">IF(E739=TRUE(),1,0)</f>
        <v>1</v>
      </c>
      <c r="L739" s="47" t="n">
        <v>46218.6239699074</v>
      </c>
    </row>
    <row r="740" customFormat="false" ht="15" hidden="false" customHeight="true" outlineLevel="0" collapsed="false">
      <c r="A740" s="38" t="n">
        <v>739</v>
      </c>
      <c r="B740" s="39" t="s">
        <v>2254</v>
      </c>
      <c r="C740" s="39" t="s">
        <v>2255</v>
      </c>
      <c r="D740" s="39" t="s">
        <v>47</v>
      </c>
      <c r="E740" s="40" t="b">
        <f aca="false">TRUE()</f>
        <v>1</v>
      </c>
      <c r="F740" s="38" t="s">
        <v>40</v>
      </c>
      <c r="G740" s="38" t="n">
        <v>739</v>
      </c>
      <c r="H740" s="39" t="s">
        <v>2256</v>
      </c>
      <c r="I740" s="39" t="s">
        <v>57</v>
      </c>
      <c r="J740" s="39" t="s">
        <v>47</v>
      </c>
      <c r="K740" s="41" t="n">
        <f aca="false">IF(E740=TRUE(),1,0)</f>
        <v>1</v>
      </c>
      <c r="L740" s="42" t="n">
        <v>46218.6240277778</v>
      </c>
    </row>
    <row r="741" customFormat="false" ht="15" hidden="false" customHeight="true" outlineLevel="0" collapsed="false">
      <c r="A741" s="43" t="n">
        <v>740</v>
      </c>
      <c r="B741" s="44" t="s">
        <v>2257</v>
      </c>
      <c r="C741" s="44" t="s">
        <v>2258</v>
      </c>
      <c r="D741" s="44" t="s">
        <v>47</v>
      </c>
      <c r="E741" s="45" t="b">
        <f aca="false">FALSE()</f>
        <v>0</v>
      </c>
      <c r="F741" s="43" t="s">
        <v>44</v>
      </c>
      <c r="G741" s="43" t="n">
        <v>740</v>
      </c>
      <c r="H741" s="44" t="s">
        <v>2259</v>
      </c>
      <c r="I741" s="44" t="s">
        <v>36</v>
      </c>
      <c r="J741" s="44" t="s">
        <v>33</v>
      </c>
      <c r="K741" s="46" t="n">
        <f aca="false">IF(E741=TRUE(),1,0)</f>
        <v>0</v>
      </c>
      <c r="L741" s="44"/>
    </row>
    <row r="742" customFormat="false" ht="15" hidden="false" customHeight="true" outlineLevel="0" collapsed="false">
      <c r="A742" s="38" t="n">
        <v>741</v>
      </c>
      <c r="B742" s="39" t="s">
        <v>2260</v>
      </c>
      <c r="C742" s="39" t="s">
        <v>2261</v>
      </c>
      <c r="D742" s="39" t="s">
        <v>37</v>
      </c>
      <c r="E742" s="40" t="b">
        <f aca="false">TRUE()</f>
        <v>1</v>
      </c>
      <c r="F742" s="38" t="s">
        <v>44</v>
      </c>
      <c r="G742" s="38" t="n">
        <v>741</v>
      </c>
      <c r="H742" s="39" t="s">
        <v>2262</v>
      </c>
      <c r="I742" s="39" t="s">
        <v>46</v>
      </c>
      <c r="J742" s="39" t="s">
        <v>33</v>
      </c>
      <c r="K742" s="41" t="n">
        <f aca="false">IF(E742=TRUE(),1,0)</f>
        <v>1</v>
      </c>
      <c r="L742" s="42" t="n">
        <v>46218.6267592593</v>
      </c>
    </row>
    <row r="743" customFormat="false" ht="15" hidden="false" customHeight="true" outlineLevel="0" collapsed="false">
      <c r="A743" s="43" t="n">
        <v>742</v>
      </c>
      <c r="B743" s="44" t="s">
        <v>2263</v>
      </c>
      <c r="C743" s="44" t="s">
        <v>2264</v>
      </c>
      <c r="D743" s="44" t="s">
        <v>37</v>
      </c>
      <c r="E743" s="45" t="b">
        <f aca="false">TRUE()</f>
        <v>1</v>
      </c>
      <c r="F743" s="43" t="s">
        <v>40</v>
      </c>
      <c r="G743" s="43" t="n">
        <v>742</v>
      </c>
      <c r="H743" s="44" t="s">
        <v>2265</v>
      </c>
      <c r="I743" s="44" t="s">
        <v>46</v>
      </c>
      <c r="J743" s="44" t="s">
        <v>37</v>
      </c>
      <c r="K743" s="46" t="n">
        <f aca="false">IF(E743=TRUE(),1,0)</f>
        <v>1</v>
      </c>
      <c r="L743" s="47" t="n">
        <v>46218.6268055556</v>
      </c>
    </row>
    <row r="744" customFormat="false" ht="15" hidden="false" customHeight="true" outlineLevel="0" collapsed="false">
      <c r="A744" s="38" t="n">
        <v>743</v>
      </c>
      <c r="B744" s="39" t="s">
        <v>2266</v>
      </c>
      <c r="C744" s="39" t="s">
        <v>2267</v>
      </c>
      <c r="D744" s="39" t="s">
        <v>47</v>
      </c>
      <c r="E744" s="40" t="b">
        <f aca="false">TRUE()</f>
        <v>1</v>
      </c>
      <c r="F744" s="38" t="s">
        <v>44</v>
      </c>
      <c r="G744" s="38" t="n">
        <v>743</v>
      </c>
      <c r="H744" s="39" t="s">
        <v>2268</v>
      </c>
      <c r="I744" s="39" t="s">
        <v>57</v>
      </c>
      <c r="J744" s="39" t="s">
        <v>47</v>
      </c>
      <c r="K744" s="41" t="n">
        <f aca="false">IF(E744=TRUE(),1,0)</f>
        <v>1</v>
      </c>
      <c r="L744" s="42" t="n">
        <v>46218.6270486111</v>
      </c>
    </row>
    <row r="745" customFormat="false" ht="15" hidden="false" customHeight="true" outlineLevel="0" collapsed="false">
      <c r="A745" s="43" t="n">
        <v>744</v>
      </c>
      <c r="B745" s="44" t="s">
        <v>2269</v>
      </c>
      <c r="C745" s="44" t="s">
        <v>2270</v>
      </c>
      <c r="D745" s="44" t="s">
        <v>47</v>
      </c>
      <c r="E745" s="45" t="b">
        <f aca="false">FALSE()</f>
        <v>0</v>
      </c>
      <c r="F745" s="43" t="s">
        <v>44</v>
      </c>
      <c r="G745" s="43" t="n">
        <v>744</v>
      </c>
      <c r="H745" s="44" t="s">
        <v>2271</v>
      </c>
      <c r="I745" s="44" t="s">
        <v>57</v>
      </c>
      <c r="J745" s="44" t="s">
        <v>33</v>
      </c>
      <c r="K745" s="46" t="n">
        <f aca="false">IF(E745=TRUE(),1,0)</f>
        <v>0</v>
      </c>
      <c r="L745" s="44"/>
    </row>
    <row r="746" customFormat="false" ht="15" hidden="false" customHeight="true" outlineLevel="0" collapsed="false">
      <c r="A746" s="38" t="n">
        <v>745</v>
      </c>
      <c r="B746" s="39" t="s">
        <v>2272</v>
      </c>
      <c r="C746" s="39" t="s">
        <v>2273</v>
      </c>
      <c r="D746" s="39" t="s">
        <v>33</v>
      </c>
      <c r="E746" s="40" t="b">
        <f aca="false">TRUE()</f>
        <v>1</v>
      </c>
      <c r="F746" s="38" t="s">
        <v>44</v>
      </c>
      <c r="G746" s="38" t="n">
        <v>745</v>
      </c>
      <c r="H746" s="39" t="s">
        <v>2274</v>
      </c>
      <c r="I746" s="39" t="s">
        <v>36</v>
      </c>
      <c r="J746" s="39" t="s">
        <v>47</v>
      </c>
      <c r="K746" s="41" t="n">
        <f aca="false">IF(E746=TRUE(),1,0)</f>
        <v>1</v>
      </c>
      <c r="L746" s="42" t="n">
        <v>46218.6277893519</v>
      </c>
    </row>
    <row r="747" customFormat="false" ht="15" hidden="false" customHeight="true" outlineLevel="0" collapsed="false">
      <c r="A747" s="43" t="n">
        <v>746</v>
      </c>
      <c r="B747" s="44" t="s">
        <v>2275</v>
      </c>
      <c r="C747" s="44" t="s">
        <v>2276</v>
      </c>
      <c r="D747" s="44" t="s">
        <v>37</v>
      </c>
      <c r="E747" s="45" t="b">
        <f aca="false">FALSE()</f>
        <v>0</v>
      </c>
      <c r="F747" s="43" t="s">
        <v>40</v>
      </c>
      <c r="G747" s="43" t="n">
        <v>746</v>
      </c>
      <c r="H747" s="44" t="s">
        <v>2277</v>
      </c>
      <c r="I747" s="44" t="s">
        <v>36</v>
      </c>
      <c r="J747" s="44" t="s">
        <v>33</v>
      </c>
      <c r="K747" s="46" t="n">
        <f aca="false">IF(E747=TRUE(),1,0)</f>
        <v>0</v>
      </c>
      <c r="L747" s="44"/>
    </row>
    <row r="748" customFormat="false" ht="15" hidden="false" customHeight="true" outlineLevel="0" collapsed="false">
      <c r="A748" s="38" t="n">
        <v>747</v>
      </c>
      <c r="B748" s="39" t="s">
        <v>2278</v>
      </c>
      <c r="C748" s="39" t="s">
        <v>2279</v>
      </c>
      <c r="D748" s="39" t="s">
        <v>47</v>
      </c>
      <c r="E748" s="40" t="b">
        <f aca="false">TRUE()</f>
        <v>1</v>
      </c>
      <c r="F748" s="38" t="s">
        <v>34</v>
      </c>
      <c r="G748" s="38" t="n">
        <v>747</v>
      </c>
      <c r="H748" s="39" t="s">
        <v>2280</v>
      </c>
      <c r="I748" s="39" t="s">
        <v>46</v>
      </c>
      <c r="J748" s="39" t="s">
        <v>33</v>
      </c>
      <c r="K748" s="41" t="n">
        <f aca="false">IF(E748=TRUE(),1,0)</f>
        <v>1</v>
      </c>
      <c r="L748" s="42" t="n">
        <v>46218.6319444445</v>
      </c>
    </row>
    <row r="749" customFormat="false" ht="15" hidden="false" customHeight="true" outlineLevel="0" collapsed="false">
      <c r="A749" s="43" t="n">
        <v>748</v>
      </c>
      <c r="B749" s="44" t="s">
        <v>2281</v>
      </c>
      <c r="C749" s="44" t="s">
        <v>2282</v>
      </c>
      <c r="D749" s="44" t="s">
        <v>47</v>
      </c>
      <c r="E749" s="45" t="b">
        <f aca="false">FALSE()</f>
        <v>0</v>
      </c>
      <c r="F749" s="43" t="s">
        <v>40</v>
      </c>
      <c r="G749" s="43" t="n">
        <v>748</v>
      </c>
      <c r="H749" s="44" t="s">
        <v>2283</v>
      </c>
      <c r="I749" s="44" t="s">
        <v>46</v>
      </c>
      <c r="J749" s="44" t="s">
        <v>37</v>
      </c>
      <c r="K749" s="46" t="n">
        <f aca="false">IF(E749=TRUE(),1,0)</f>
        <v>0</v>
      </c>
      <c r="L749" s="44"/>
    </row>
    <row r="750" customFormat="false" ht="15" hidden="false" customHeight="true" outlineLevel="0" collapsed="false">
      <c r="A750" s="38" t="n">
        <v>749</v>
      </c>
      <c r="B750" s="39" t="s">
        <v>2284</v>
      </c>
      <c r="C750" s="39" t="s">
        <v>2285</v>
      </c>
      <c r="D750" s="39" t="s">
        <v>47</v>
      </c>
      <c r="E750" s="40" t="b">
        <f aca="false">FALSE()</f>
        <v>0</v>
      </c>
      <c r="F750" s="38" t="s">
        <v>40</v>
      </c>
      <c r="G750" s="38" t="n">
        <v>749</v>
      </c>
      <c r="H750" s="39" t="s">
        <v>2286</v>
      </c>
      <c r="I750" s="39" t="s">
        <v>57</v>
      </c>
      <c r="J750" s="39" t="s">
        <v>47</v>
      </c>
      <c r="K750" s="41" t="n">
        <f aca="false">IF(E750=TRUE(),1,0)</f>
        <v>0</v>
      </c>
      <c r="L750" s="39"/>
    </row>
    <row r="751" customFormat="false" ht="15" hidden="false" customHeight="true" outlineLevel="0" collapsed="false">
      <c r="A751" s="43" t="n">
        <v>750</v>
      </c>
      <c r="B751" s="44" t="s">
        <v>2287</v>
      </c>
      <c r="C751" s="44" t="s">
        <v>2288</v>
      </c>
      <c r="D751" s="44" t="s">
        <v>37</v>
      </c>
      <c r="E751" s="45" t="b">
        <f aca="false">TRUE()</f>
        <v>1</v>
      </c>
      <c r="F751" s="43" t="s">
        <v>44</v>
      </c>
      <c r="G751" s="43" t="n">
        <v>750</v>
      </c>
      <c r="H751" s="44" t="s">
        <v>2289</v>
      </c>
      <c r="I751" s="44" t="s">
        <v>36</v>
      </c>
      <c r="J751" s="44" t="s">
        <v>37</v>
      </c>
      <c r="K751" s="46" t="n">
        <f aca="false">IF(E751=TRUE(),1,0)</f>
        <v>1</v>
      </c>
      <c r="L751" s="47" t="n">
        <v>46218.6323958333</v>
      </c>
    </row>
    <row r="752" customFormat="false" ht="15" hidden="false" customHeight="true" outlineLevel="0" collapsed="false">
      <c r="A752" s="38" t="n">
        <v>751</v>
      </c>
      <c r="B752" s="39" t="s">
        <v>2290</v>
      </c>
      <c r="C752" s="39" t="s">
        <v>2291</v>
      </c>
      <c r="D752" s="39" t="s">
        <v>37</v>
      </c>
      <c r="E752" s="40" t="b">
        <f aca="false">FALSE()</f>
        <v>0</v>
      </c>
      <c r="F752" s="38" t="s">
        <v>40</v>
      </c>
      <c r="G752" s="38" t="n">
        <v>751</v>
      </c>
      <c r="H752" s="39" t="s">
        <v>2292</v>
      </c>
      <c r="I752" s="39" t="s">
        <v>46</v>
      </c>
      <c r="J752" s="39" t="s">
        <v>33</v>
      </c>
      <c r="K752" s="41" t="n">
        <f aca="false">IF(E752=TRUE(),1,0)</f>
        <v>0</v>
      </c>
      <c r="L752" s="39"/>
    </row>
    <row r="753" customFormat="false" ht="15" hidden="false" customHeight="true" outlineLevel="0" collapsed="false">
      <c r="A753" s="43" t="n">
        <v>752</v>
      </c>
      <c r="B753" s="44" t="s">
        <v>2293</v>
      </c>
      <c r="C753" s="44" t="s">
        <v>2294</v>
      </c>
      <c r="D753" s="44" t="s">
        <v>47</v>
      </c>
      <c r="E753" s="45" t="b">
        <f aca="false">TRUE()</f>
        <v>1</v>
      </c>
      <c r="F753" s="43" t="s">
        <v>40</v>
      </c>
      <c r="G753" s="43" t="n">
        <v>752</v>
      </c>
      <c r="H753" s="44" t="s">
        <v>2295</v>
      </c>
      <c r="I753" s="44" t="s">
        <v>57</v>
      </c>
      <c r="J753" s="44" t="s">
        <v>33</v>
      </c>
      <c r="K753" s="46" t="n">
        <f aca="false">IF(E753=TRUE(),1,0)</f>
        <v>1</v>
      </c>
      <c r="L753" s="47" t="n">
        <v>46218.6341203704</v>
      </c>
    </row>
    <row r="754" customFormat="false" ht="15" hidden="false" customHeight="true" outlineLevel="0" collapsed="false">
      <c r="A754" s="38" t="n">
        <v>753</v>
      </c>
      <c r="B754" s="39" t="s">
        <v>2296</v>
      </c>
      <c r="C754" s="39" t="s">
        <v>2297</v>
      </c>
      <c r="D754" s="39" t="s">
        <v>37</v>
      </c>
      <c r="E754" s="40" t="b">
        <f aca="false">TRUE()</f>
        <v>1</v>
      </c>
      <c r="F754" s="38" t="s">
        <v>40</v>
      </c>
      <c r="G754" s="38" t="n">
        <v>753</v>
      </c>
      <c r="H754" s="39" t="s">
        <v>2298</v>
      </c>
      <c r="I754" s="39" t="s">
        <v>46</v>
      </c>
      <c r="J754" s="39" t="s">
        <v>37</v>
      </c>
      <c r="K754" s="41" t="n">
        <f aca="false">IF(E754=TRUE(),1,0)</f>
        <v>1</v>
      </c>
      <c r="L754" s="42" t="n">
        <v>46218.6355787037</v>
      </c>
    </row>
    <row r="755" customFormat="false" ht="15" hidden="false" customHeight="true" outlineLevel="0" collapsed="false">
      <c r="A755" s="43" t="n">
        <v>754</v>
      </c>
      <c r="B755" s="44" t="s">
        <v>2299</v>
      </c>
      <c r="C755" s="44" t="s">
        <v>2300</v>
      </c>
      <c r="D755" s="44" t="s">
        <v>33</v>
      </c>
      <c r="E755" s="45" t="b">
        <f aca="false">TRUE()</f>
        <v>1</v>
      </c>
      <c r="F755" s="43" t="s">
        <v>34</v>
      </c>
      <c r="G755" s="43" t="n">
        <v>754</v>
      </c>
      <c r="H755" s="44" t="s">
        <v>2301</v>
      </c>
      <c r="I755" s="44" t="s">
        <v>57</v>
      </c>
      <c r="J755" s="44" t="s">
        <v>37</v>
      </c>
      <c r="K755" s="46" t="n">
        <f aca="false">IF(E755=TRUE(),1,0)</f>
        <v>1</v>
      </c>
      <c r="L755" s="47" t="n">
        <v>46218.6358217593</v>
      </c>
    </row>
    <row r="756" customFormat="false" ht="15" hidden="false" customHeight="true" outlineLevel="0" collapsed="false">
      <c r="A756" s="38" t="n">
        <v>755</v>
      </c>
      <c r="B756" s="39" t="s">
        <v>2302</v>
      </c>
      <c r="C756" s="39" t="s">
        <v>2303</v>
      </c>
      <c r="D756" s="39" t="s">
        <v>47</v>
      </c>
      <c r="E756" s="40" t="b">
        <f aca="false">TRUE()</f>
        <v>1</v>
      </c>
      <c r="F756" s="38" t="s">
        <v>44</v>
      </c>
      <c r="G756" s="38" t="n">
        <v>755</v>
      </c>
      <c r="H756" s="39" t="s">
        <v>2304</v>
      </c>
      <c r="I756" s="39" t="s">
        <v>57</v>
      </c>
      <c r="J756" s="39" t="s">
        <v>37</v>
      </c>
      <c r="K756" s="41" t="n">
        <f aca="false">IF(E756=TRUE(),1,0)</f>
        <v>1</v>
      </c>
      <c r="L756" s="42" t="n">
        <v>46218.6367939815</v>
      </c>
    </row>
    <row r="757" customFormat="false" ht="15" hidden="false" customHeight="true" outlineLevel="0" collapsed="false">
      <c r="A757" s="43" t="n">
        <v>756</v>
      </c>
      <c r="B757" s="44" t="s">
        <v>2305</v>
      </c>
      <c r="C757" s="44" t="s">
        <v>2306</v>
      </c>
      <c r="D757" s="44" t="s">
        <v>33</v>
      </c>
      <c r="E757" s="45" t="b">
        <f aca="false">TRUE()</f>
        <v>1</v>
      </c>
      <c r="F757" s="43" t="s">
        <v>34</v>
      </c>
      <c r="G757" s="43" t="n">
        <v>756</v>
      </c>
      <c r="H757" s="44" t="s">
        <v>2307</v>
      </c>
      <c r="I757" s="44" t="s">
        <v>57</v>
      </c>
      <c r="J757" s="44" t="s">
        <v>33</v>
      </c>
      <c r="K757" s="46" t="n">
        <f aca="false">IF(E757=TRUE(),1,0)</f>
        <v>1</v>
      </c>
      <c r="L757" s="47" t="n">
        <v>46218.6384722222</v>
      </c>
    </row>
    <row r="758" customFormat="false" ht="15" hidden="false" customHeight="true" outlineLevel="0" collapsed="false">
      <c r="A758" s="38" t="n">
        <v>757</v>
      </c>
      <c r="B758" s="39" t="s">
        <v>2308</v>
      </c>
      <c r="C758" s="39" t="s">
        <v>2309</v>
      </c>
      <c r="D758" s="39" t="s">
        <v>37</v>
      </c>
      <c r="E758" s="40" t="b">
        <f aca="false">TRUE()</f>
        <v>1</v>
      </c>
      <c r="F758" s="38" t="s">
        <v>34</v>
      </c>
      <c r="G758" s="38" t="n">
        <v>757</v>
      </c>
      <c r="H758" s="39" t="s">
        <v>2310</v>
      </c>
      <c r="I758" s="39" t="s">
        <v>46</v>
      </c>
      <c r="J758" s="39" t="s">
        <v>33</v>
      </c>
      <c r="K758" s="41" t="n">
        <f aca="false">IF(E758=TRUE(),1,0)</f>
        <v>1</v>
      </c>
      <c r="L758" s="42" t="n">
        <v>46218.6392824074</v>
      </c>
    </row>
    <row r="759" customFormat="false" ht="15" hidden="false" customHeight="true" outlineLevel="0" collapsed="false">
      <c r="A759" s="43" t="n">
        <v>758</v>
      </c>
      <c r="B759" s="44" t="s">
        <v>2311</v>
      </c>
      <c r="C759" s="44" t="s">
        <v>2312</v>
      </c>
      <c r="D759" s="44" t="s">
        <v>33</v>
      </c>
      <c r="E759" s="45" t="b">
        <f aca="false">TRUE()</f>
        <v>1</v>
      </c>
      <c r="F759" s="43" t="s">
        <v>44</v>
      </c>
      <c r="G759" s="43" t="n">
        <v>758</v>
      </c>
      <c r="H759" s="44" t="s">
        <v>2313</v>
      </c>
      <c r="I759" s="44" t="s">
        <v>36</v>
      </c>
      <c r="J759" s="44" t="s">
        <v>37</v>
      </c>
      <c r="K759" s="46" t="n">
        <f aca="false">IF(E759=TRUE(),1,0)</f>
        <v>1</v>
      </c>
      <c r="L759" s="47" t="n">
        <v>46218.6397106482</v>
      </c>
    </row>
    <row r="760" customFormat="false" ht="15" hidden="false" customHeight="true" outlineLevel="0" collapsed="false">
      <c r="A760" s="38" t="n">
        <v>759</v>
      </c>
      <c r="B760" s="39" t="s">
        <v>2314</v>
      </c>
      <c r="C760" s="39" t="s">
        <v>2315</v>
      </c>
      <c r="D760" s="39" t="s">
        <v>33</v>
      </c>
      <c r="E760" s="40" t="b">
        <f aca="false">TRUE()</f>
        <v>1</v>
      </c>
      <c r="F760" s="38" t="s">
        <v>34</v>
      </c>
      <c r="G760" s="38" t="n">
        <v>759</v>
      </c>
      <c r="H760" s="39" t="s">
        <v>2316</v>
      </c>
      <c r="I760" s="39" t="s">
        <v>36</v>
      </c>
      <c r="J760" s="39" t="s">
        <v>37</v>
      </c>
      <c r="K760" s="41" t="n">
        <f aca="false">IF(E760=TRUE(),1,0)</f>
        <v>1</v>
      </c>
      <c r="L760" s="42" t="n">
        <v>46218.6401388889</v>
      </c>
    </row>
    <row r="761" customFormat="false" ht="15" hidden="false" customHeight="true" outlineLevel="0" collapsed="false">
      <c r="A761" s="43" t="n">
        <v>760</v>
      </c>
      <c r="B761" s="44" t="s">
        <v>2317</v>
      </c>
      <c r="C761" s="44" t="s">
        <v>2318</v>
      </c>
      <c r="D761" s="44" t="s">
        <v>33</v>
      </c>
      <c r="E761" s="45" t="b">
        <f aca="false">TRUE()</f>
        <v>1</v>
      </c>
      <c r="F761" s="43" t="s">
        <v>40</v>
      </c>
      <c r="G761" s="43" t="n">
        <v>760</v>
      </c>
      <c r="H761" s="44" t="s">
        <v>2319</v>
      </c>
      <c r="I761" s="44" t="s">
        <v>57</v>
      </c>
      <c r="J761" s="44" t="s">
        <v>33</v>
      </c>
      <c r="K761" s="46" t="n">
        <f aca="false">IF(E761=TRUE(),1,0)</f>
        <v>1</v>
      </c>
      <c r="L761" s="47" t="n">
        <v>46218.6408101852</v>
      </c>
    </row>
    <row r="762" customFormat="false" ht="15" hidden="false" customHeight="true" outlineLevel="0" collapsed="false">
      <c r="A762" s="38" t="n">
        <v>761</v>
      </c>
      <c r="B762" s="39" t="s">
        <v>2320</v>
      </c>
      <c r="C762" s="39" t="s">
        <v>2321</v>
      </c>
      <c r="D762" s="39" t="s">
        <v>47</v>
      </c>
      <c r="E762" s="40" t="b">
        <f aca="false">FALSE()</f>
        <v>0</v>
      </c>
      <c r="F762" s="38" t="s">
        <v>40</v>
      </c>
      <c r="G762" s="38" t="n">
        <v>761</v>
      </c>
      <c r="H762" s="39" t="s">
        <v>2322</v>
      </c>
      <c r="I762" s="39" t="s">
        <v>46</v>
      </c>
      <c r="J762" s="39" t="s">
        <v>37</v>
      </c>
      <c r="K762" s="41" t="n">
        <f aca="false">IF(E762=TRUE(),1,0)</f>
        <v>0</v>
      </c>
      <c r="L762" s="39"/>
    </row>
    <row r="763" customFormat="false" ht="15" hidden="false" customHeight="true" outlineLevel="0" collapsed="false">
      <c r="A763" s="43" t="n">
        <v>762</v>
      </c>
      <c r="B763" s="44" t="s">
        <v>2323</v>
      </c>
      <c r="C763" s="44" t="s">
        <v>2324</v>
      </c>
      <c r="D763" s="44" t="s">
        <v>47</v>
      </c>
      <c r="E763" s="45" t="b">
        <f aca="false">FALSE()</f>
        <v>0</v>
      </c>
      <c r="F763" s="43" t="s">
        <v>40</v>
      </c>
      <c r="G763" s="43" t="n">
        <v>762</v>
      </c>
      <c r="H763" s="44" t="s">
        <v>2325</v>
      </c>
      <c r="I763" s="44" t="s">
        <v>57</v>
      </c>
      <c r="J763" s="44" t="s">
        <v>33</v>
      </c>
      <c r="K763" s="46" t="n">
        <f aca="false">IF(E763=TRUE(),1,0)</f>
        <v>0</v>
      </c>
      <c r="L763" s="44"/>
    </row>
    <row r="764" customFormat="false" ht="15" hidden="false" customHeight="true" outlineLevel="0" collapsed="false">
      <c r="A764" s="38" t="n">
        <v>763</v>
      </c>
      <c r="B764" s="39" t="s">
        <v>2326</v>
      </c>
      <c r="C764" s="39" t="s">
        <v>2327</v>
      </c>
      <c r="D764" s="39" t="s">
        <v>47</v>
      </c>
      <c r="E764" s="40" t="b">
        <f aca="false">FALSE()</f>
        <v>0</v>
      </c>
      <c r="F764" s="38" t="s">
        <v>44</v>
      </c>
      <c r="G764" s="38" t="n">
        <v>763</v>
      </c>
      <c r="H764" s="39" t="s">
        <v>2328</v>
      </c>
      <c r="I764" s="39" t="s">
        <v>36</v>
      </c>
      <c r="J764" s="39" t="s">
        <v>47</v>
      </c>
      <c r="K764" s="41" t="n">
        <f aca="false">IF(E764=TRUE(),1,0)</f>
        <v>0</v>
      </c>
      <c r="L764" s="39"/>
    </row>
    <row r="765" customFormat="false" ht="15" hidden="false" customHeight="true" outlineLevel="0" collapsed="false">
      <c r="A765" s="43" t="n">
        <v>764</v>
      </c>
      <c r="B765" s="44" t="s">
        <v>2329</v>
      </c>
      <c r="C765" s="44" t="s">
        <v>2330</v>
      </c>
      <c r="D765" s="44" t="s">
        <v>47</v>
      </c>
      <c r="E765" s="45" t="b">
        <f aca="false">TRUE()</f>
        <v>1</v>
      </c>
      <c r="F765" s="43" t="s">
        <v>44</v>
      </c>
      <c r="G765" s="43" t="n">
        <v>764</v>
      </c>
      <c r="H765" s="44" t="s">
        <v>2331</v>
      </c>
      <c r="I765" s="44" t="s">
        <v>46</v>
      </c>
      <c r="J765" s="44" t="s">
        <v>37</v>
      </c>
      <c r="K765" s="46" t="n">
        <f aca="false">IF(E765=TRUE(),1,0)</f>
        <v>1</v>
      </c>
      <c r="L765" s="47" t="n">
        <v>46218.6422916667</v>
      </c>
    </row>
    <row r="766" customFormat="false" ht="15" hidden="false" customHeight="true" outlineLevel="0" collapsed="false">
      <c r="A766" s="38" t="n">
        <v>765</v>
      </c>
      <c r="B766" s="39" t="s">
        <v>2332</v>
      </c>
      <c r="C766" s="39" t="s">
        <v>2333</v>
      </c>
      <c r="D766" s="39" t="s">
        <v>47</v>
      </c>
      <c r="E766" s="40" t="b">
        <f aca="false">TRUE()</f>
        <v>1</v>
      </c>
      <c r="F766" s="38" t="s">
        <v>44</v>
      </c>
      <c r="G766" s="38" t="n">
        <v>765</v>
      </c>
      <c r="H766" s="39" t="s">
        <v>2334</v>
      </c>
      <c r="I766" s="39" t="s">
        <v>46</v>
      </c>
      <c r="J766" s="39" t="s">
        <v>33</v>
      </c>
      <c r="K766" s="41" t="n">
        <f aca="false">IF(E766=TRUE(),1,0)</f>
        <v>1</v>
      </c>
      <c r="L766" s="42" t="n">
        <v>46218.6425694445</v>
      </c>
    </row>
    <row r="767" customFormat="false" ht="15" hidden="false" customHeight="true" outlineLevel="0" collapsed="false">
      <c r="A767" s="43" t="n">
        <v>766</v>
      </c>
      <c r="B767" s="44" t="s">
        <v>2335</v>
      </c>
      <c r="C767" s="44" t="s">
        <v>2336</v>
      </c>
      <c r="D767" s="44" t="s">
        <v>47</v>
      </c>
      <c r="E767" s="45" t="b">
        <f aca="false">FALSE()</f>
        <v>0</v>
      </c>
      <c r="F767" s="43" t="s">
        <v>40</v>
      </c>
      <c r="G767" s="43" t="n">
        <v>766</v>
      </c>
      <c r="H767" s="44" t="s">
        <v>2337</v>
      </c>
      <c r="I767" s="44" t="s">
        <v>46</v>
      </c>
      <c r="J767" s="44" t="s">
        <v>47</v>
      </c>
      <c r="K767" s="46" t="n">
        <f aca="false">IF(E767=TRUE(),1,0)</f>
        <v>0</v>
      </c>
      <c r="L767" s="44"/>
    </row>
    <row r="768" customFormat="false" ht="15" hidden="false" customHeight="true" outlineLevel="0" collapsed="false">
      <c r="A768" s="38" t="n">
        <v>767</v>
      </c>
      <c r="B768" s="39" t="s">
        <v>2338</v>
      </c>
      <c r="C768" s="39" t="s">
        <v>2339</v>
      </c>
      <c r="D768" s="39" t="s">
        <v>33</v>
      </c>
      <c r="E768" s="40" t="b">
        <f aca="false">TRUE()</f>
        <v>1</v>
      </c>
      <c r="F768" s="38" t="s">
        <v>40</v>
      </c>
      <c r="G768" s="38" t="n">
        <v>767</v>
      </c>
      <c r="H768" s="39" t="s">
        <v>2340</v>
      </c>
      <c r="I768" s="39" t="s">
        <v>46</v>
      </c>
      <c r="J768" s="39" t="s">
        <v>47</v>
      </c>
      <c r="K768" s="41" t="n">
        <f aca="false">IF(E768=TRUE(),1,0)</f>
        <v>1</v>
      </c>
      <c r="L768" s="42" t="n">
        <v>46218.6443634259</v>
      </c>
    </row>
    <row r="769" customFormat="false" ht="15" hidden="false" customHeight="true" outlineLevel="0" collapsed="false">
      <c r="A769" s="43" t="n">
        <v>768</v>
      </c>
      <c r="B769" s="44" t="s">
        <v>2341</v>
      </c>
      <c r="C769" s="44" t="s">
        <v>2342</v>
      </c>
      <c r="D769" s="44" t="s">
        <v>37</v>
      </c>
      <c r="E769" s="45" t="b">
        <f aca="false">TRUE()</f>
        <v>1</v>
      </c>
      <c r="F769" s="43" t="s">
        <v>34</v>
      </c>
      <c r="G769" s="43" t="n">
        <v>768</v>
      </c>
      <c r="H769" s="44" t="s">
        <v>2343</v>
      </c>
      <c r="I769" s="44" t="s">
        <v>46</v>
      </c>
      <c r="J769" s="44" t="s">
        <v>47</v>
      </c>
      <c r="K769" s="46" t="n">
        <f aca="false">IF(E769=TRUE(),1,0)</f>
        <v>1</v>
      </c>
      <c r="L769" s="47" t="n">
        <v>46218.6459027778</v>
      </c>
    </row>
    <row r="770" customFormat="false" ht="15" hidden="false" customHeight="true" outlineLevel="0" collapsed="false">
      <c r="A770" s="38" t="n">
        <v>769</v>
      </c>
      <c r="B770" s="39" t="s">
        <v>2344</v>
      </c>
      <c r="C770" s="39" t="s">
        <v>2345</v>
      </c>
      <c r="D770" s="39" t="s">
        <v>37</v>
      </c>
      <c r="E770" s="40" t="b">
        <f aca="false">TRUE()</f>
        <v>1</v>
      </c>
      <c r="F770" s="38" t="s">
        <v>34</v>
      </c>
      <c r="G770" s="38" t="n">
        <v>769</v>
      </c>
      <c r="H770" s="39" t="s">
        <v>2346</v>
      </c>
      <c r="I770" s="39" t="s">
        <v>46</v>
      </c>
      <c r="J770" s="39" t="s">
        <v>33</v>
      </c>
      <c r="K770" s="41" t="n">
        <f aca="false">IF(E770=TRUE(),1,0)</f>
        <v>1</v>
      </c>
      <c r="L770" s="42" t="n">
        <v>46218.6466898148</v>
      </c>
    </row>
    <row r="771" customFormat="false" ht="15" hidden="false" customHeight="true" outlineLevel="0" collapsed="false">
      <c r="A771" s="43" t="n">
        <v>770</v>
      </c>
      <c r="B771" s="44" t="s">
        <v>2347</v>
      </c>
      <c r="C771" s="44" t="s">
        <v>2348</v>
      </c>
      <c r="D771" s="44" t="s">
        <v>33</v>
      </c>
      <c r="E771" s="45" t="b">
        <f aca="false">TRUE()</f>
        <v>1</v>
      </c>
      <c r="F771" s="43" t="s">
        <v>44</v>
      </c>
      <c r="G771" s="43" t="n">
        <v>770</v>
      </c>
      <c r="H771" s="44" t="s">
        <v>2349</v>
      </c>
      <c r="I771" s="44" t="s">
        <v>46</v>
      </c>
      <c r="J771" s="44" t="s">
        <v>47</v>
      </c>
      <c r="K771" s="46" t="n">
        <f aca="false">IF(E771=TRUE(),1,0)</f>
        <v>1</v>
      </c>
      <c r="L771" s="47" t="n">
        <v>46218.6486921296</v>
      </c>
    </row>
    <row r="772" customFormat="false" ht="15" hidden="false" customHeight="true" outlineLevel="0" collapsed="false">
      <c r="A772" s="38" t="n">
        <v>771</v>
      </c>
      <c r="B772" s="39" t="s">
        <v>2350</v>
      </c>
      <c r="C772" s="39" t="s">
        <v>2351</v>
      </c>
      <c r="D772" s="39" t="s">
        <v>37</v>
      </c>
      <c r="E772" s="40" t="b">
        <f aca="false">TRUE()</f>
        <v>1</v>
      </c>
      <c r="F772" s="38" t="s">
        <v>44</v>
      </c>
      <c r="G772" s="38" t="n">
        <v>771</v>
      </c>
      <c r="H772" s="39" t="s">
        <v>2352</v>
      </c>
      <c r="I772" s="39" t="s">
        <v>36</v>
      </c>
      <c r="J772" s="39" t="s">
        <v>47</v>
      </c>
      <c r="K772" s="41" t="n">
        <f aca="false">IF(E772=TRUE(),1,0)</f>
        <v>1</v>
      </c>
      <c r="L772" s="42" t="n">
        <v>46218.6501851852</v>
      </c>
    </row>
    <row r="773" customFormat="false" ht="15" hidden="false" customHeight="true" outlineLevel="0" collapsed="false">
      <c r="A773" s="43" t="n">
        <v>772</v>
      </c>
      <c r="B773" s="44" t="s">
        <v>2353</v>
      </c>
      <c r="C773" s="44" t="s">
        <v>2354</v>
      </c>
      <c r="D773" s="44" t="s">
        <v>37</v>
      </c>
      <c r="E773" s="45" t="b">
        <f aca="false">FALSE()</f>
        <v>0</v>
      </c>
      <c r="F773" s="43" t="s">
        <v>44</v>
      </c>
      <c r="G773" s="43" t="n">
        <v>772</v>
      </c>
      <c r="H773" s="44" t="s">
        <v>2355</v>
      </c>
      <c r="I773" s="44" t="s">
        <v>46</v>
      </c>
      <c r="J773" s="44" t="s">
        <v>33</v>
      </c>
      <c r="K773" s="46" t="n">
        <f aca="false">IF(E773=TRUE(),1,0)</f>
        <v>0</v>
      </c>
      <c r="L773" s="44"/>
    </row>
    <row r="774" customFormat="false" ht="15" hidden="false" customHeight="true" outlineLevel="0" collapsed="false">
      <c r="A774" s="38" t="n">
        <v>773</v>
      </c>
      <c r="B774" s="39" t="s">
        <v>2356</v>
      </c>
      <c r="C774" s="39" t="s">
        <v>2357</v>
      </c>
      <c r="D774" s="39" t="s">
        <v>37</v>
      </c>
      <c r="E774" s="40" t="b">
        <f aca="false">TRUE()</f>
        <v>1</v>
      </c>
      <c r="F774" s="38" t="s">
        <v>34</v>
      </c>
      <c r="G774" s="38" t="n">
        <v>773</v>
      </c>
      <c r="H774" s="39" t="s">
        <v>2358</v>
      </c>
      <c r="I774" s="39" t="s">
        <v>46</v>
      </c>
      <c r="J774" s="39" t="s">
        <v>37</v>
      </c>
      <c r="K774" s="41" t="n">
        <f aca="false">IF(E774=TRUE(),1,0)</f>
        <v>1</v>
      </c>
      <c r="L774" s="42" t="n">
        <v>46218.6504166667</v>
      </c>
    </row>
    <row r="775" customFormat="false" ht="15" hidden="false" customHeight="true" outlineLevel="0" collapsed="false">
      <c r="A775" s="43" t="n">
        <v>774</v>
      </c>
      <c r="B775" s="44" t="s">
        <v>2359</v>
      </c>
      <c r="C775" s="44" t="s">
        <v>2360</v>
      </c>
      <c r="D775" s="44" t="s">
        <v>47</v>
      </c>
      <c r="E775" s="45" t="b">
        <f aca="false">FALSE()</f>
        <v>0</v>
      </c>
      <c r="F775" s="43" t="s">
        <v>34</v>
      </c>
      <c r="G775" s="43" t="n">
        <v>774</v>
      </c>
      <c r="H775" s="44" t="s">
        <v>2361</v>
      </c>
      <c r="I775" s="44" t="s">
        <v>57</v>
      </c>
      <c r="J775" s="44" t="s">
        <v>33</v>
      </c>
      <c r="K775" s="46" t="n">
        <f aca="false">IF(E775=TRUE(),1,0)</f>
        <v>0</v>
      </c>
      <c r="L775" s="44"/>
    </row>
    <row r="776" customFormat="false" ht="15" hidden="false" customHeight="true" outlineLevel="0" collapsed="false">
      <c r="A776" s="38" t="n">
        <v>775</v>
      </c>
      <c r="B776" s="39" t="s">
        <v>2362</v>
      </c>
      <c r="C776" s="39" t="s">
        <v>2363</v>
      </c>
      <c r="D776" s="39" t="s">
        <v>33</v>
      </c>
      <c r="E776" s="40" t="b">
        <f aca="false">TRUE()</f>
        <v>1</v>
      </c>
      <c r="F776" s="38" t="s">
        <v>44</v>
      </c>
      <c r="G776" s="38" t="n">
        <v>775</v>
      </c>
      <c r="H776" s="39" t="s">
        <v>2364</v>
      </c>
      <c r="I776" s="39" t="s">
        <v>57</v>
      </c>
      <c r="J776" s="39" t="s">
        <v>33</v>
      </c>
      <c r="K776" s="41" t="n">
        <f aca="false">IF(E776=TRUE(),1,0)</f>
        <v>1</v>
      </c>
      <c r="L776" s="42" t="n">
        <v>46218.6505787037</v>
      </c>
    </row>
    <row r="777" customFormat="false" ht="15" hidden="false" customHeight="true" outlineLevel="0" collapsed="false">
      <c r="A777" s="43" t="n">
        <v>776</v>
      </c>
      <c r="B777" s="44" t="s">
        <v>2365</v>
      </c>
      <c r="C777" s="44" t="s">
        <v>2366</v>
      </c>
      <c r="D777" s="44" t="s">
        <v>37</v>
      </c>
      <c r="E777" s="45" t="b">
        <f aca="false">TRUE()</f>
        <v>1</v>
      </c>
      <c r="F777" s="43" t="s">
        <v>40</v>
      </c>
      <c r="G777" s="43" t="n">
        <v>776</v>
      </c>
      <c r="H777" s="44" t="s">
        <v>2367</v>
      </c>
      <c r="I777" s="44" t="s">
        <v>57</v>
      </c>
      <c r="J777" s="44" t="s">
        <v>33</v>
      </c>
      <c r="K777" s="46" t="n">
        <f aca="false">IF(E777=TRUE(),1,0)</f>
        <v>1</v>
      </c>
      <c r="L777" s="47" t="n">
        <v>46218.6521759259</v>
      </c>
    </row>
    <row r="778" customFormat="false" ht="15" hidden="false" customHeight="true" outlineLevel="0" collapsed="false">
      <c r="A778" s="38" t="n">
        <v>777</v>
      </c>
      <c r="B778" s="39" t="s">
        <v>2368</v>
      </c>
      <c r="C778" s="39" t="s">
        <v>2369</v>
      </c>
      <c r="D778" s="39" t="s">
        <v>37</v>
      </c>
      <c r="E778" s="40" t="b">
        <f aca="false">FALSE()</f>
        <v>0</v>
      </c>
      <c r="F778" s="38" t="s">
        <v>34</v>
      </c>
      <c r="G778" s="38" t="n">
        <v>777</v>
      </c>
      <c r="H778" s="39" t="s">
        <v>2370</v>
      </c>
      <c r="I778" s="39" t="s">
        <v>36</v>
      </c>
      <c r="J778" s="39" t="s">
        <v>47</v>
      </c>
      <c r="K778" s="41" t="n">
        <f aca="false">IF(E778=TRUE(),1,0)</f>
        <v>0</v>
      </c>
      <c r="L778" s="39"/>
    </row>
    <row r="779" customFormat="false" ht="15" hidden="false" customHeight="true" outlineLevel="0" collapsed="false">
      <c r="A779" s="43" t="n">
        <v>778</v>
      </c>
      <c r="B779" s="44" t="s">
        <v>2371</v>
      </c>
      <c r="C779" s="44" t="s">
        <v>2372</v>
      </c>
      <c r="D779" s="44" t="s">
        <v>33</v>
      </c>
      <c r="E779" s="45" t="b">
        <f aca="false">FALSE()</f>
        <v>0</v>
      </c>
      <c r="F779" s="43" t="s">
        <v>44</v>
      </c>
      <c r="G779" s="43" t="n">
        <v>778</v>
      </c>
      <c r="H779" s="44" t="s">
        <v>2373</v>
      </c>
      <c r="I779" s="44" t="s">
        <v>46</v>
      </c>
      <c r="J779" s="44" t="s">
        <v>47</v>
      </c>
      <c r="K779" s="46" t="n">
        <f aca="false">IF(E779=TRUE(),1,0)</f>
        <v>0</v>
      </c>
      <c r="L779" s="44"/>
    </row>
    <row r="780" customFormat="false" ht="15" hidden="false" customHeight="true" outlineLevel="0" collapsed="false">
      <c r="A780" s="38" t="n">
        <v>779</v>
      </c>
      <c r="B780" s="39" t="s">
        <v>2374</v>
      </c>
      <c r="C780" s="39" t="s">
        <v>2375</v>
      </c>
      <c r="D780" s="39" t="s">
        <v>33</v>
      </c>
      <c r="E780" s="40" t="b">
        <f aca="false">FALSE()</f>
        <v>0</v>
      </c>
      <c r="F780" s="38" t="s">
        <v>34</v>
      </c>
      <c r="G780" s="38" t="n">
        <v>779</v>
      </c>
      <c r="H780" s="39" t="s">
        <v>2376</v>
      </c>
      <c r="I780" s="39" t="s">
        <v>46</v>
      </c>
      <c r="J780" s="39" t="s">
        <v>47</v>
      </c>
      <c r="K780" s="41" t="n">
        <f aca="false">IF(E780=TRUE(),1,0)</f>
        <v>0</v>
      </c>
      <c r="L780" s="39"/>
    </row>
    <row r="781" customFormat="false" ht="15" hidden="false" customHeight="true" outlineLevel="0" collapsed="false">
      <c r="A781" s="43" t="n">
        <v>780</v>
      </c>
      <c r="B781" s="44" t="s">
        <v>2377</v>
      </c>
      <c r="C781" s="44" t="s">
        <v>2378</v>
      </c>
      <c r="D781" s="44" t="s">
        <v>47</v>
      </c>
      <c r="E781" s="45" t="b">
        <f aca="false">FALSE()</f>
        <v>0</v>
      </c>
      <c r="F781" s="43" t="s">
        <v>44</v>
      </c>
      <c r="G781" s="43" t="n">
        <v>780</v>
      </c>
      <c r="H781" s="44" t="s">
        <v>2379</v>
      </c>
      <c r="I781" s="44" t="s">
        <v>36</v>
      </c>
      <c r="J781" s="44" t="s">
        <v>47</v>
      </c>
      <c r="K781" s="46" t="n">
        <f aca="false">IF(E781=TRUE(),1,0)</f>
        <v>0</v>
      </c>
      <c r="L781" s="44"/>
    </row>
    <row r="782" customFormat="false" ht="15" hidden="false" customHeight="true" outlineLevel="0" collapsed="false">
      <c r="A782" s="38" t="n">
        <v>781</v>
      </c>
      <c r="B782" s="39" t="s">
        <v>2380</v>
      </c>
      <c r="C782" s="39" t="s">
        <v>2381</v>
      </c>
      <c r="D782" s="39" t="s">
        <v>47</v>
      </c>
      <c r="E782" s="40" t="b">
        <f aca="false">TRUE()</f>
        <v>1</v>
      </c>
      <c r="F782" s="38" t="s">
        <v>40</v>
      </c>
      <c r="G782" s="38" t="n">
        <v>781</v>
      </c>
      <c r="H782" s="39" t="s">
        <v>2382</v>
      </c>
      <c r="I782" s="39" t="s">
        <v>36</v>
      </c>
      <c r="J782" s="39" t="s">
        <v>47</v>
      </c>
      <c r="K782" s="41" t="n">
        <f aca="false">IF(E782=TRUE(),1,0)</f>
        <v>1</v>
      </c>
      <c r="L782" s="42" t="n">
        <v>46218.6533101852</v>
      </c>
    </row>
    <row r="783" customFormat="false" ht="15" hidden="false" customHeight="true" outlineLevel="0" collapsed="false">
      <c r="A783" s="43" t="n">
        <v>782</v>
      </c>
      <c r="B783" s="44" t="s">
        <v>2383</v>
      </c>
      <c r="C783" s="44" t="s">
        <v>2384</v>
      </c>
      <c r="D783" s="44" t="s">
        <v>33</v>
      </c>
      <c r="E783" s="45" t="b">
        <f aca="false">FALSE()</f>
        <v>0</v>
      </c>
      <c r="F783" s="43" t="s">
        <v>34</v>
      </c>
      <c r="G783" s="43" t="n">
        <v>782</v>
      </c>
      <c r="H783" s="44" t="s">
        <v>2385</v>
      </c>
      <c r="I783" s="44" t="s">
        <v>36</v>
      </c>
      <c r="J783" s="44" t="s">
        <v>37</v>
      </c>
      <c r="K783" s="46" t="n">
        <f aca="false">IF(E783=TRUE(),1,0)</f>
        <v>0</v>
      </c>
      <c r="L783" s="44"/>
    </row>
    <row r="784" customFormat="false" ht="15" hidden="false" customHeight="true" outlineLevel="0" collapsed="false">
      <c r="A784" s="38" t="n">
        <v>783</v>
      </c>
      <c r="B784" s="39" t="s">
        <v>2386</v>
      </c>
      <c r="C784" s="39" t="s">
        <v>2387</v>
      </c>
      <c r="D784" s="39" t="s">
        <v>47</v>
      </c>
      <c r="E784" s="40" t="b">
        <f aca="false">TRUE()</f>
        <v>1</v>
      </c>
      <c r="F784" s="38" t="s">
        <v>44</v>
      </c>
      <c r="G784" s="38" t="n">
        <v>783</v>
      </c>
      <c r="H784" s="39" t="s">
        <v>2388</v>
      </c>
      <c r="I784" s="39" t="s">
        <v>46</v>
      </c>
      <c r="J784" s="39" t="s">
        <v>47</v>
      </c>
      <c r="K784" s="41" t="n">
        <f aca="false">IF(E784=TRUE(),1,0)</f>
        <v>1</v>
      </c>
      <c r="L784" s="42" t="n">
        <v>46218.6567824074</v>
      </c>
    </row>
    <row r="785" customFormat="false" ht="15" hidden="false" customHeight="true" outlineLevel="0" collapsed="false">
      <c r="A785" s="43" t="n">
        <v>784</v>
      </c>
      <c r="B785" s="44" t="s">
        <v>2389</v>
      </c>
      <c r="C785" s="44" t="s">
        <v>2390</v>
      </c>
      <c r="D785" s="44" t="s">
        <v>47</v>
      </c>
      <c r="E785" s="45" t="b">
        <f aca="false">FALSE()</f>
        <v>0</v>
      </c>
      <c r="F785" s="43" t="s">
        <v>34</v>
      </c>
      <c r="G785" s="43" t="n">
        <v>784</v>
      </c>
      <c r="H785" s="44" t="s">
        <v>2391</v>
      </c>
      <c r="I785" s="44" t="s">
        <v>57</v>
      </c>
      <c r="J785" s="44" t="s">
        <v>37</v>
      </c>
      <c r="K785" s="46" t="n">
        <f aca="false">IF(E785=TRUE(),1,0)</f>
        <v>0</v>
      </c>
      <c r="L785" s="44"/>
    </row>
    <row r="786" customFormat="false" ht="15" hidden="false" customHeight="true" outlineLevel="0" collapsed="false">
      <c r="A786" s="38" t="n">
        <v>785</v>
      </c>
      <c r="B786" s="39" t="s">
        <v>2392</v>
      </c>
      <c r="C786" s="39" t="s">
        <v>2393</v>
      </c>
      <c r="D786" s="39" t="s">
        <v>47</v>
      </c>
      <c r="E786" s="40" t="b">
        <f aca="false">TRUE()</f>
        <v>1</v>
      </c>
      <c r="F786" s="38" t="s">
        <v>44</v>
      </c>
      <c r="G786" s="38" t="n">
        <v>785</v>
      </c>
      <c r="H786" s="39" t="s">
        <v>2394</v>
      </c>
      <c r="I786" s="39" t="s">
        <v>36</v>
      </c>
      <c r="J786" s="39" t="s">
        <v>37</v>
      </c>
      <c r="K786" s="41" t="n">
        <f aca="false">IF(E786=TRUE(),1,0)</f>
        <v>1</v>
      </c>
      <c r="L786" s="42" t="n">
        <v>46218.6598611111</v>
      </c>
    </row>
    <row r="787" customFormat="false" ht="15" hidden="false" customHeight="true" outlineLevel="0" collapsed="false">
      <c r="A787" s="43" t="n">
        <v>786</v>
      </c>
      <c r="B787" s="44" t="s">
        <v>2395</v>
      </c>
      <c r="C787" s="44" t="s">
        <v>2396</v>
      </c>
      <c r="D787" s="44" t="s">
        <v>33</v>
      </c>
      <c r="E787" s="45" t="b">
        <f aca="false">FALSE()</f>
        <v>0</v>
      </c>
      <c r="F787" s="43" t="s">
        <v>40</v>
      </c>
      <c r="G787" s="43" t="n">
        <v>786</v>
      </c>
      <c r="H787" s="44" t="s">
        <v>2397</v>
      </c>
      <c r="I787" s="44" t="s">
        <v>36</v>
      </c>
      <c r="J787" s="44" t="s">
        <v>37</v>
      </c>
      <c r="K787" s="46" t="n">
        <f aca="false">IF(E787=TRUE(),1,0)</f>
        <v>0</v>
      </c>
      <c r="L787" s="44"/>
    </row>
    <row r="788" customFormat="false" ht="15" hidden="false" customHeight="true" outlineLevel="0" collapsed="false">
      <c r="A788" s="38" t="n">
        <v>787</v>
      </c>
      <c r="B788" s="39" t="s">
        <v>2398</v>
      </c>
      <c r="C788" s="39" t="s">
        <v>2399</v>
      </c>
      <c r="D788" s="39" t="s">
        <v>47</v>
      </c>
      <c r="E788" s="40" t="b">
        <f aca="false">TRUE()</f>
        <v>1</v>
      </c>
      <c r="F788" s="38" t="s">
        <v>34</v>
      </c>
      <c r="G788" s="38" t="n">
        <v>787</v>
      </c>
      <c r="H788" s="39" t="s">
        <v>2400</v>
      </c>
      <c r="I788" s="39" t="s">
        <v>57</v>
      </c>
      <c r="J788" s="39" t="s">
        <v>33</v>
      </c>
      <c r="K788" s="41" t="n">
        <f aca="false">IF(E788=TRUE(),1,0)</f>
        <v>1</v>
      </c>
      <c r="L788" s="42" t="n">
        <v>46218.6600231482</v>
      </c>
    </row>
    <row r="789" customFormat="false" ht="15" hidden="false" customHeight="true" outlineLevel="0" collapsed="false">
      <c r="A789" s="43" t="n">
        <v>788</v>
      </c>
      <c r="B789" s="44" t="s">
        <v>2401</v>
      </c>
      <c r="C789" s="44" t="s">
        <v>2402</v>
      </c>
      <c r="D789" s="44" t="s">
        <v>47</v>
      </c>
      <c r="E789" s="45" t="b">
        <f aca="false">TRUE()</f>
        <v>1</v>
      </c>
      <c r="F789" s="43" t="s">
        <v>34</v>
      </c>
      <c r="G789" s="43" t="n">
        <v>788</v>
      </c>
      <c r="H789" s="44" t="s">
        <v>2403</v>
      </c>
      <c r="I789" s="44" t="s">
        <v>46</v>
      </c>
      <c r="J789" s="44" t="s">
        <v>33</v>
      </c>
      <c r="K789" s="46" t="n">
        <f aca="false">IF(E789=TRUE(),1,0)</f>
        <v>1</v>
      </c>
      <c r="L789" s="47" t="n">
        <v>46218.6602893519</v>
      </c>
    </row>
    <row r="790" customFormat="false" ht="15" hidden="false" customHeight="true" outlineLevel="0" collapsed="false">
      <c r="A790" s="38" t="n">
        <v>789</v>
      </c>
      <c r="B790" s="39" t="s">
        <v>2404</v>
      </c>
      <c r="C790" s="39" t="s">
        <v>2405</v>
      </c>
      <c r="D790" s="39" t="s">
        <v>33</v>
      </c>
      <c r="E790" s="40" t="b">
        <f aca="false">FALSE()</f>
        <v>0</v>
      </c>
      <c r="F790" s="38" t="s">
        <v>40</v>
      </c>
      <c r="G790" s="38" t="n">
        <v>789</v>
      </c>
      <c r="H790" s="39" t="s">
        <v>2406</v>
      </c>
      <c r="I790" s="39" t="s">
        <v>46</v>
      </c>
      <c r="J790" s="39" t="s">
        <v>33</v>
      </c>
      <c r="K790" s="41" t="n">
        <f aca="false">IF(E790=TRUE(),1,0)</f>
        <v>0</v>
      </c>
      <c r="L790" s="39"/>
    </row>
    <row r="791" customFormat="false" ht="15" hidden="false" customHeight="true" outlineLevel="0" collapsed="false">
      <c r="A791" s="43" t="n">
        <v>790</v>
      </c>
      <c r="B791" s="44" t="s">
        <v>2407</v>
      </c>
      <c r="C791" s="44" t="s">
        <v>2408</v>
      </c>
      <c r="D791" s="44" t="s">
        <v>47</v>
      </c>
      <c r="E791" s="45" t="b">
        <f aca="false">TRUE()</f>
        <v>1</v>
      </c>
      <c r="F791" s="43" t="s">
        <v>40</v>
      </c>
      <c r="G791" s="43" t="n">
        <v>790</v>
      </c>
      <c r="H791" s="44" t="s">
        <v>2409</v>
      </c>
      <c r="I791" s="44" t="s">
        <v>57</v>
      </c>
      <c r="J791" s="44" t="s">
        <v>33</v>
      </c>
      <c r="K791" s="46" t="n">
        <f aca="false">IF(E791=TRUE(),1,0)</f>
        <v>1</v>
      </c>
      <c r="L791" s="47" t="n">
        <v>46218.6608101852</v>
      </c>
    </row>
    <row r="792" customFormat="false" ht="15" hidden="false" customHeight="true" outlineLevel="0" collapsed="false">
      <c r="A792" s="38" t="n">
        <v>791</v>
      </c>
      <c r="B792" s="39" t="s">
        <v>2410</v>
      </c>
      <c r="C792" s="39" t="s">
        <v>2411</v>
      </c>
      <c r="D792" s="39" t="s">
        <v>37</v>
      </c>
      <c r="E792" s="40" t="b">
        <f aca="false">TRUE()</f>
        <v>1</v>
      </c>
      <c r="F792" s="38" t="s">
        <v>44</v>
      </c>
      <c r="G792" s="38" t="n">
        <v>791</v>
      </c>
      <c r="H792" s="39" t="s">
        <v>2412</v>
      </c>
      <c r="I792" s="39" t="s">
        <v>57</v>
      </c>
      <c r="J792" s="39" t="s">
        <v>37</v>
      </c>
      <c r="K792" s="41" t="n">
        <f aca="false">IF(E792=TRUE(),1,0)</f>
        <v>1</v>
      </c>
      <c r="L792" s="42" t="n">
        <v>46218.6622222222</v>
      </c>
    </row>
    <row r="793" customFormat="false" ht="15" hidden="false" customHeight="true" outlineLevel="0" collapsed="false">
      <c r="A793" s="43" t="n">
        <v>792</v>
      </c>
      <c r="B793" s="44" t="s">
        <v>2413</v>
      </c>
      <c r="C793" s="44" t="s">
        <v>2414</v>
      </c>
      <c r="D793" s="44" t="s">
        <v>47</v>
      </c>
      <c r="E793" s="45" t="b">
        <f aca="false">FALSE()</f>
        <v>0</v>
      </c>
      <c r="F793" s="43" t="s">
        <v>44</v>
      </c>
      <c r="G793" s="43" t="n">
        <v>792</v>
      </c>
      <c r="H793" s="44" t="s">
        <v>2415</v>
      </c>
      <c r="I793" s="44" t="s">
        <v>36</v>
      </c>
      <c r="J793" s="44" t="s">
        <v>47</v>
      </c>
      <c r="K793" s="46" t="n">
        <f aca="false">IF(E793=TRUE(),1,0)</f>
        <v>0</v>
      </c>
      <c r="L793" s="44"/>
    </row>
    <row r="794" customFormat="false" ht="15" hidden="false" customHeight="true" outlineLevel="0" collapsed="false">
      <c r="A794" s="38" t="n">
        <v>793</v>
      </c>
      <c r="B794" s="39" t="s">
        <v>2416</v>
      </c>
      <c r="C794" s="39" t="s">
        <v>2417</v>
      </c>
      <c r="D794" s="39" t="s">
        <v>33</v>
      </c>
      <c r="E794" s="40" t="b">
        <f aca="false">TRUE()</f>
        <v>1</v>
      </c>
      <c r="F794" s="38" t="s">
        <v>40</v>
      </c>
      <c r="G794" s="38" t="n">
        <v>793</v>
      </c>
      <c r="H794" s="39" t="s">
        <v>2418</v>
      </c>
      <c r="I794" s="39" t="s">
        <v>36</v>
      </c>
      <c r="J794" s="39" t="s">
        <v>47</v>
      </c>
      <c r="K794" s="41" t="n">
        <f aca="false">IF(E794=TRUE(),1,0)</f>
        <v>1</v>
      </c>
      <c r="L794" s="42" t="n">
        <v>46218.6622800926</v>
      </c>
    </row>
    <row r="795" customFormat="false" ht="15" hidden="false" customHeight="true" outlineLevel="0" collapsed="false">
      <c r="A795" s="43" t="n">
        <v>794</v>
      </c>
      <c r="B795" s="44" t="s">
        <v>2419</v>
      </c>
      <c r="C795" s="44" t="s">
        <v>2420</v>
      </c>
      <c r="D795" s="44" t="s">
        <v>33</v>
      </c>
      <c r="E795" s="45" t="b">
        <f aca="false">FALSE()</f>
        <v>0</v>
      </c>
      <c r="F795" s="43" t="s">
        <v>44</v>
      </c>
      <c r="G795" s="43" t="n">
        <v>794</v>
      </c>
      <c r="H795" s="44" t="s">
        <v>2421</v>
      </c>
      <c r="I795" s="44" t="s">
        <v>57</v>
      </c>
      <c r="J795" s="44" t="s">
        <v>47</v>
      </c>
      <c r="K795" s="46" t="n">
        <f aca="false">IF(E795=TRUE(),1,0)</f>
        <v>0</v>
      </c>
      <c r="L795" s="44"/>
    </row>
    <row r="796" customFormat="false" ht="15" hidden="false" customHeight="true" outlineLevel="0" collapsed="false">
      <c r="A796" s="38" t="n">
        <v>795</v>
      </c>
      <c r="B796" s="39" t="s">
        <v>2422</v>
      </c>
      <c r="C796" s="39" t="s">
        <v>2423</v>
      </c>
      <c r="D796" s="39" t="s">
        <v>33</v>
      </c>
      <c r="E796" s="40" t="b">
        <f aca="false">TRUE()</f>
        <v>1</v>
      </c>
      <c r="F796" s="38" t="s">
        <v>34</v>
      </c>
      <c r="G796" s="38" t="n">
        <v>795</v>
      </c>
      <c r="H796" s="39" t="s">
        <v>2424</v>
      </c>
      <c r="I796" s="39" t="s">
        <v>46</v>
      </c>
      <c r="J796" s="39" t="s">
        <v>33</v>
      </c>
      <c r="K796" s="41" t="n">
        <f aca="false">IF(E796=TRUE(),1,0)</f>
        <v>1</v>
      </c>
      <c r="L796" s="42" t="n">
        <v>46218.6660069445</v>
      </c>
    </row>
    <row r="797" customFormat="false" ht="15" hidden="false" customHeight="true" outlineLevel="0" collapsed="false">
      <c r="A797" s="43" t="n">
        <v>796</v>
      </c>
      <c r="B797" s="44" t="s">
        <v>2425</v>
      </c>
      <c r="C797" s="44" t="s">
        <v>2426</v>
      </c>
      <c r="D797" s="44" t="s">
        <v>37</v>
      </c>
      <c r="E797" s="45" t="b">
        <f aca="false">TRUE()</f>
        <v>1</v>
      </c>
      <c r="F797" s="43" t="s">
        <v>44</v>
      </c>
      <c r="G797" s="43" t="n">
        <v>796</v>
      </c>
      <c r="H797" s="44" t="s">
        <v>2427</v>
      </c>
      <c r="I797" s="44" t="s">
        <v>57</v>
      </c>
      <c r="J797" s="44" t="s">
        <v>47</v>
      </c>
      <c r="K797" s="46" t="n">
        <f aca="false">IF(E797=TRUE(),1,0)</f>
        <v>1</v>
      </c>
      <c r="L797" s="47" t="n">
        <v>46218.6703356481</v>
      </c>
    </row>
    <row r="798" customFormat="false" ht="15" hidden="false" customHeight="true" outlineLevel="0" collapsed="false">
      <c r="A798" s="38" t="n">
        <v>797</v>
      </c>
      <c r="B798" s="39" t="s">
        <v>2428</v>
      </c>
      <c r="C798" s="39" t="s">
        <v>2429</v>
      </c>
      <c r="D798" s="39" t="s">
        <v>37</v>
      </c>
      <c r="E798" s="40" t="b">
        <f aca="false">FALSE()</f>
        <v>0</v>
      </c>
      <c r="F798" s="38" t="s">
        <v>40</v>
      </c>
      <c r="G798" s="38" t="n">
        <v>797</v>
      </c>
      <c r="H798" s="39" t="s">
        <v>2430</v>
      </c>
      <c r="I798" s="39" t="s">
        <v>57</v>
      </c>
      <c r="J798" s="39" t="s">
        <v>47</v>
      </c>
      <c r="K798" s="41" t="n">
        <f aca="false">IF(E798=TRUE(),1,0)</f>
        <v>0</v>
      </c>
      <c r="L798" s="39"/>
    </row>
    <row r="799" customFormat="false" ht="15" hidden="false" customHeight="true" outlineLevel="0" collapsed="false">
      <c r="A799" s="43" t="n">
        <v>798</v>
      </c>
      <c r="B799" s="44" t="s">
        <v>2431</v>
      </c>
      <c r="C799" s="44" t="s">
        <v>2432</v>
      </c>
      <c r="D799" s="44" t="s">
        <v>47</v>
      </c>
      <c r="E799" s="45" t="b">
        <f aca="false">FALSE()</f>
        <v>0</v>
      </c>
      <c r="F799" s="43" t="s">
        <v>44</v>
      </c>
      <c r="G799" s="43" t="n">
        <v>798</v>
      </c>
      <c r="H799" s="44" t="s">
        <v>2433</v>
      </c>
      <c r="I799" s="44" t="s">
        <v>57</v>
      </c>
      <c r="J799" s="44" t="s">
        <v>33</v>
      </c>
      <c r="K799" s="46" t="n">
        <f aca="false">IF(E799=TRUE(),1,0)</f>
        <v>0</v>
      </c>
      <c r="L799" s="44"/>
    </row>
    <row r="800" customFormat="false" ht="15" hidden="false" customHeight="true" outlineLevel="0" collapsed="false">
      <c r="A800" s="38" t="n">
        <v>799</v>
      </c>
      <c r="B800" s="39" t="s">
        <v>2434</v>
      </c>
      <c r="C800" s="39" t="s">
        <v>2435</v>
      </c>
      <c r="D800" s="39" t="s">
        <v>47</v>
      </c>
      <c r="E800" s="40" t="b">
        <f aca="false">FALSE()</f>
        <v>0</v>
      </c>
      <c r="F800" s="38" t="s">
        <v>34</v>
      </c>
      <c r="G800" s="38" t="n">
        <v>799</v>
      </c>
      <c r="H800" s="39" t="s">
        <v>2436</v>
      </c>
      <c r="I800" s="39" t="s">
        <v>46</v>
      </c>
      <c r="J800" s="39" t="s">
        <v>37</v>
      </c>
      <c r="K800" s="41" t="n">
        <f aca="false">IF(E800=TRUE(),1,0)</f>
        <v>0</v>
      </c>
      <c r="L800" s="39"/>
    </row>
    <row r="801" customFormat="false" ht="15" hidden="false" customHeight="true" outlineLevel="0" collapsed="false">
      <c r="A801" s="43" t="n">
        <v>800</v>
      </c>
      <c r="B801" s="44" t="s">
        <v>2437</v>
      </c>
      <c r="C801" s="44" t="s">
        <v>2438</v>
      </c>
      <c r="D801" s="44" t="s">
        <v>37</v>
      </c>
      <c r="E801" s="45" t="b">
        <f aca="false">FALSE()</f>
        <v>0</v>
      </c>
      <c r="F801" s="43" t="s">
        <v>34</v>
      </c>
      <c r="G801" s="43" t="n">
        <v>800</v>
      </c>
      <c r="H801" s="44" t="s">
        <v>2439</v>
      </c>
      <c r="I801" s="44" t="s">
        <v>36</v>
      </c>
      <c r="J801" s="44" t="s">
        <v>37</v>
      </c>
      <c r="K801" s="46" t="n">
        <f aca="false">IF(E801=TRUE(),1,0)</f>
        <v>0</v>
      </c>
      <c r="L801" s="44"/>
    </row>
    <row r="802" customFormat="false" ht="15" hidden="false" customHeight="true" outlineLevel="0" collapsed="false">
      <c r="A802" s="38" t="n">
        <v>801</v>
      </c>
      <c r="B802" s="39" t="s">
        <v>2440</v>
      </c>
      <c r="C802" s="39" t="s">
        <v>2441</v>
      </c>
      <c r="D802" s="39" t="s">
        <v>47</v>
      </c>
      <c r="E802" s="40" t="b">
        <f aca="false">FALSE()</f>
        <v>0</v>
      </c>
      <c r="F802" s="38" t="s">
        <v>44</v>
      </c>
      <c r="G802" s="38" t="n">
        <v>801</v>
      </c>
      <c r="H802" s="39" t="s">
        <v>2442</v>
      </c>
      <c r="I802" s="39" t="s">
        <v>46</v>
      </c>
      <c r="J802" s="39" t="s">
        <v>33</v>
      </c>
      <c r="K802" s="41" t="n">
        <f aca="false">IF(E802=TRUE(),1,0)</f>
        <v>0</v>
      </c>
      <c r="L802" s="39"/>
    </row>
    <row r="803" customFormat="false" ht="15" hidden="false" customHeight="true" outlineLevel="0" collapsed="false">
      <c r="A803" s="43" t="n">
        <v>802</v>
      </c>
      <c r="B803" s="44" t="s">
        <v>2443</v>
      </c>
      <c r="C803" s="44" t="s">
        <v>2444</v>
      </c>
      <c r="D803" s="44" t="s">
        <v>37</v>
      </c>
      <c r="E803" s="45" t="b">
        <f aca="false">TRUE()</f>
        <v>1</v>
      </c>
      <c r="F803" s="43" t="s">
        <v>34</v>
      </c>
      <c r="G803" s="43" t="n">
        <v>802</v>
      </c>
      <c r="H803" s="44" t="s">
        <v>2445</v>
      </c>
      <c r="I803" s="44" t="s">
        <v>36</v>
      </c>
      <c r="J803" s="44" t="s">
        <v>37</v>
      </c>
      <c r="K803" s="46" t="n">
        <f aca="false">IF(E803=TRUE(),1,0)</f>
        <v>1</v>
      </c>
      <c r="L803" s="47" t="n">
        <v>46218.6713657407</v>
      </c>
    </row>
    <row r="804" customFormat="false" ht="15" hidden="false" customHeight="true" outlineLevel="0" collapsed="false">
      <c r="A804" s="38" t="n">
        <v>803</v>
      </c>
      <c r="B804" s="39" t="s">
        <v>2446</v>
      </c>
      <c r="C804" s="39" t="s">
        <v>2447</v>
      </c>
      <c r="D804" s="39" t="s">
        <v>47</v>
      </c>
      <c r="E804" s="40" t="b">
        <f aca="false">TRUE()</f>
        <v>1</v>
      </c>
      <c r="F804" s="38" t="s">
        <v>44</v>
      </c>
      <c r="G804" s="38" t="n">
        <v>803</v>
      </c>
      <c r="H804" s="39" t="s">
        <v>2448</v>
      </c>
      <c r="I804" s="39" t="s">
        <v>36</v>
      </c>
      <c r="J804" s="39" t="s">
        <v>33</v>
      </c>
      <c r="K804" s="41" t="n">
        <f aca="false">IF(E804=TRUE(),1,0)</f>
        <v>1</v>
      </c>
      <c r="L804" s="42" t="n">
        <v>46218.6730787037</v>
      </c>
    </row>
    <row r="805" customFormat="false" ht="15" hidden="false" customHeight="true" outlineLevel="0" collapsed="false">
      <c r="A805" s="43" t="n">
        <v>804</v>
      </c>
      <c r="B805" s="44" t="s">
        <v>2449</v>
      </c>
      <c r="C805" s="44" t="s">
        <v>2450</v>
      </c>
      <c r="D805" s="44" t="s">
        <v>47</v>
      </c>
      <c r="E805" s="45" t="b">
        <f aca="false">TRUE()</f>
        <v>1</v>
      </c>
      <c r="F805" s="43" t="s">
        <v>34</v>
      </c>
      <c r="G805" s="43" t="n">
        <v>804</v>
      </c>
      <c r="H805" s="44" t="s">
        <v>2451</v>
      </c>
      <c r="I805" s="44" t="s">
        <v>57</v>
      </c>
      <c r="J805" s="44" t="s">
        <v>37</v>
      </c>
      <c r="K805" s="46" t="n">
        <f aca="false">IF(E805=TRUE(),1,0)</f>
        <v>1</v>
      </c>
      <c r="L805" s="47" t="n">
        <v>46218.6749768519</v>
      </c>
    </row>
    <row r="806" customFormat="false" ht="15" hidden="false" customHeight="true" outlineLevel="0" collapsed="false">
      <c r="A806" s="38" t="n">
        <v>805</v>
      </c>
      <c r="B806" s="39" t="s">
        <v>2452</v>
      </c>
      <c r="C806" s="39" t="s">
        <v>2453</v>
      </c>
      <c r="D806" s="39" t="s">
        <v>47</v>
      </c>
      <c r="E806" s="40" t="b">
        <f aca="false">TRUE()</f>
        <v>1</v>
      </c>
      <c r="F806" s="38" t="s">
        <v>40</v>
      </c>
      <c r="G806" s="38" t="n">
        <v>805</v>
      </c>
      <c r="H806" s="39" t="s">
        <v>2454</v>
      </c>
      <c r="I806" s="39" t="s">
        <v>36</v>
      </c>
      <c r="J806" s="39" t="s">
        <v>47</v>
      </c>
      <c r="K806" s="41" t="n">
        <f aca="false">IF(E806=TRUE(),1,0)</f>
        <v>1</v>
      </c>
      <c r="L806" s="42" t="n">
        <v>46218.6750231482</v>
      </c>
    </row>
    <row r="807" customFormat="false" ht="15" hidden="false" customHeight="true" outlineLevel="0" collapsed="false">
      <c r="A807" s="43" t="n">
        <v>806</v>
      </c>
      <c r="B807" s="44" t="s">
        <v>2455</v>
      </c>
      <c r="C807" s="44" t="s">
        <v>2456</v>
      </c>
      <c r="D807" s="44" t="s">
        <v>47</v>
      </c>
      <c r="E807" s="45" t="b">
        <f aca="false">TRUE()</f>
        <v>1</v>
      </c>
      <c r="F807" s="43" t="s">
        <v>34</v>
      </c>
      <c r="G807" s="43" t="n">
        <v>806</v>
      </c>
      <c r="H807" s="44" t="s">
        <v>2457</v>
      </c>
      <c r="I807" s="44" t="s">
        <v>46</v>
      </c>
      <c r="J807" s="44" t="s">
        <v>37</v>
      </c>
      <c r="K807" s="46" t="n">
        <f aca="false">IF(E807=TRUE(),1,0)</f>
        <v>1</v>
      </c>
      <c r="L807" s="47" t="n">
        <v>46218.6753819444</v>
      </c>
    </row>
    <row r="808" customFormat="false" ht="15" hidden="false" customHeight="true" outlineLevel="0" collapsed="false">
      <c r="A808" s="38" t="n">
        <v>807</v>
      </c>
      <c r="B808" s="39" t="s">
        <v>2458</v>
      </c>
      <c r="C808" s="39" t="s">
        <v>2459</v>
      </c>
      <c r="D808" s="39" t="s">
        <v>47</v>
      </c>
      <c r="E808" s="40" t="b">
        <f aca="false">FALSE()</f>
        <v>0</v>
      </c>
      <c r="F808" s="38" t="s">
        <v>34</v>
      </c>
      <c r="G808" s="38" t="n">
        <v>807</v>
      </c>
      <c r="H808" s="39" t="s">
        <v>2460</v>
      </c>
      <c r="I808" s="39" t="s">
        <v>36</v>
      </c>
      <c r="J808" s="39" t="s">
        <v>37</v>
      </c>
      <c r="K808" s="41" t="n">
        <f aca="false">IF(E808=TRUE(),1,0)</f>
        <v>0</v>
      </c>
      <c r="L808" s="39"/>
    </row>
    <row r="809" customFormat="false" ht="15" hidden="false" customHeight="true" outlineLevel="0" collapsed="false">
      <c r="A809" s="43" t="n">
        <v>808</v>
      </c>
      <c r="B809" s="44" t="s">
        <v>2461</v>
      </c>
      <c r="C809" s="44" t="s">
        <v>2462</v>
      </c>
      <c r="D809" s="44" t="s">
        <v>37</v>
      </c>
      <c r="E809" s="45" t="b">
        <f aca="false">FALSE()</f>
        <v>0</v>
      </c>
      <c r="F809" s="43" t="s">
        <v>34</v>
      </c>
      <c r="G809" s="43" t="n">
        <v>808</v>
      </c>
      <c r="H809" s="44" t="s">
        <v>2463</v>
      </c>
      <c r="I809" s="44" t="s">
        <v>36</v>
      </c>
      <c r="J809" s="44" t="s">
        <v>47</v>
      </c>
      <c r="K809" s="46" t="n">
        <f aca="false">IF(E809=TRUE(),1,0)</f>
        <v>0</v>
      </c>
      <c r="L809" s="44"/>
    </row>
    <row r="810" customFormat="false" ht="15" hidden="false" customHeight="true" outlineLevel="0" collapsed="false">
      <c r="A810" s="38" t="n">
        <v>809</v>
      </c>
      <c r="B810" s="39" t="s">
        <v>2464</v>
      </c>
      <c r="C810" s="39" t="s">
        <v>2465</v>
      </c>
      <c r="D810" s="39" t="s">
        <v>33</v>
      </c>
      <c r="E810" s="40" t="b">
        <f aca="false">TRUE()</f>
        <v>1</v>
      </c>
      <c r="F810" s="38" t="s">
        <v>40</v>
      </c>
      <c r="G810" s="38" t="n">
        <v>809</v>
      </c>
      <c r="H810" s="39" t="s">
        <v>2466</v>
      </c>
      <c r="I810" s="39" t="s">
        <v>36</v>
      </c>
      <c r="J810" s="39" t="s">
        <v>47</v>
      </c>
      <c r="K810" s="41" t="n">
        <f aca="false">IF(E810=TRUE(),1,0)</f>
        <v>1</v>
      </c>
      <c r="L810" s="42" t="n">
        <v>46218.6763194444</v>
      </c>
    </row>
    <row r="811" customFormat="false" ht="15" hidden="false" customHeight="true" outlineLevel="0" collapsed="false">
      <c r="A811" s="43" t="n">
        <v>810</v>
      </c>
      <c r="B811" s="44" t="s">
        <v>2467</v>
      </c>
      <c r="C811" s="44" t="s">
        <v>2468</v>
      </c>
      <c r="D811" s="44" t="s">
        <v>37</v>
      </c>
      <c r="E811" s="45" t="b">
        <f aca="false">TRUE()</f>
        <v>1</v>
      </c>
      <c r="F811" s="43" t="s">
        <v>44</v>
      </c>
      <c r="G811" s="43" t="n">
        <v>810</v>
      </c>
      <c r="H811" s="44" t="s">
        <v>2469</v>
      </c>
      <c r="I811" s="44" t="s">
        <v>46</v>
      </c>
      <c r="J811" s="44" t="s">
        <v>37</v>
      </c>
      <c r="K811" s="46" t="n">
        <f aca="false">IF(E811=TRUE(),1,0)</f>
        <v>1</v>
      </c>
      <c r="L811" s="47" t="n">
        <v>46218.6767361111</v>
      </c>
    </row>
    <row r="812" customFormat="false" ht="15" hidden="false" customHeight="true" outlineLevel="0" collapsed="false">
      <c r="A812" s="38" t="n">
        <v>811</v>
      </c>
      <c r="B812" s="39" t="s">
        <v>2470</v>
      </c>
      <c r="C812" s="39" t="s">
        <v>2471</v>
      </c>
      <c r="D812" s="39" t="s">
        <v>47</v>
      </c>
      <c r="E812" s="40" t="b">
        <f aca="false">FALSE()</f>
        <v>0</v>
      </c>
      <c r="F812" s="38" t="s">
        <v>34</v>
      </c>
      <c r="G812" s="38" t="n">
        <v>811</v>
      </c>
      <c r="H812" s="39" t="s">
        <v>2472</v>
      </c>
      <c r="I812" s="39" t="s">
        <v>46</v>
      </c>
      <c r="J812" s="39" t="s">
        <v>33</v>
      </c>
      <c r="K812" s="41" t="n">
        <f aca="false">IF(E812=TRUE(),1,0)</f>
        <v>0</v>
      </c>
      <c r="L812" s="39"/>
    </row>
    <row r="813" customFormat="false" ht="15" hidden="false" customHeight="true" outlineLevel="0" collapsed="false">
      <c r="A813" s="43" t="n">
        <v>812</v>
      </c>
      <c r="B813" s="44" t="s">
        <v>2473</v>
      </c>
      <c r="C813" s="44" t="s">
        <v>2474</v>
      </c>
      <c r="D813" s="44" t="s">
        <v>47</v>
      </c>
      <c r="E813" s="45" t="b">
        <f aca="false">FALSE()</f>
        <v>0</v>
      </c>
      <c r="F813" s="43" t="s">
        <v>40</v>
      </c>
      <c r="G813" s="43" t="n">
        <v>812</v>
      </c>
      <c r="H813" s="44" t="s">
        <v>2475</v>
      </c>
      <c r="I813" s="44" t="s">
        <v>36</v>
      </c>
      <c r="J813" s="44" t="s">
        <v>37</v>
      </c>
      <c r="K813" s="46" t="n">
        <f aca="false">IF(E813=TRUE(),1,0)</f>
        <v>0</v>
      </c>
      <c r="L813" s="44"/>
    </row>
    <row r="814" customFormat="false" ht="15" hidden="false" customHeight="true" outlineLevel="0" collapsed="false">
      <c r="A814" s="38" t="n">
        <v>813</v>
      </c>
      <c r="B814" s="39" t="s">
        <v>2476</v>
      </c>
      <c r="C814" s="39" t="s">
        <v>2477</v>
      </c>
      <c r="D814" s="39" t="s">
        <v>33</v>
      </c>
      <c r="E814" s="40" t="b">
        <f aca="false">TRUE()</f>
        <v>1</v>
      </c>
      <c r="F814" s="38" t="s">
        <v>40</v>
      </c>
      <c r="G814" s="38" t="n">
        <v>813</v>
      </c>
      <c r="H814" s="39" t="s">
        <v>2478</v>
      </c>
      <c r="I814" s="39" t="s">
        <v>57</v>
      </c>
      <c r="J814" s="39" t="s">
        <v>37</v>
      </c>
      <c r="K814" s="41" t="n">
        <f aca="false">IF(E814=TRUE(),1,0)</f>
        <v>1</v>
      </c>
      <c r="L814" s="42" t="n">
        <v>46218.6767476852</v>
      </c>
    </row>
    <row r="815" customFormat="false" ht="15" hidden="false" customHeight="true" outlineLevel="0" collapsed="false">
      <c r="A815" s="43" t="n">
        <v>814</v>
      </c>
      <c r="B815" s="44" t="s">
        <v>2479</v>
      </c>
      <c r="C815" s="44" t="s">
        <v>2480</v>
      </c>
      <c r="D815" s="44" t="s">
        <v>33</v>
      </c>
      <c r="E815" s="45" t="b">
        <f aca="false">FALSE()</f>
        <v>0</v>
      </c>
      <c r="F815" s="43" t="s">
        <v>44</v>
      </c>
      <c r="G815" s="43" t="n">
        <v>814</v>
      </c>
      <c r="H815" s="44" t="s">
        <v>2481</v>
      </c>
      <c r="I815" s="44" t="s">
        <v>36</v>
      </c>
      <c r="J815" s="44" t="s">
        <v>33</v>
      </c>
      <c r="K815" s="46" t="n">
        <f aca="false">IF(E815=TRUE(),1,0)</f>
        <v>0</v>
      </c>
      <c r="L815" s="44"/>
    </row>
    <row r="816" customFormat="false" ht="15" hidden="false" customHeight="true" outlineLevel="0" collapsed="false">
      <c r="A816" s="38" t="n">
        <v>815</v>
      </c>
      <c r="B816" s="39" t="s">
        <v>2482</v>
      </c>
      <c r="C816" s="39" t="s">
        <v>2483</v>
      </c>
      <c r="D816" s="39" t="s">
        <v>37</v>
      </c>
      <c r="E816" s="40" t="b">
        <f aca="false">FALSE()</f>
        <v>0</v>
      </c>
      <c r="F816" s="38" t="s">
        <v>34</v>
      </c>
      <c r="G816" s="38" t="n">
        <v>815</v>
      </c>
      <c r="H816" s="39" t="s">
        <v>2484</v>
      </c>
      <c r="I816" s="39" t="s">
        <v>36</v>
      </c>
      <c r="J816" s="39" t="s">
        <v>37</v>
      </c>
      <c r="K816" s="41" t="n">
        <f aca="false">IF(E816=TRUE(),1,0)</f>
        <v>0</v>
      </c>
      <c r="L816" s="39"/>
    </row>
    <row r="817" customFormat="false" ht="15" hidden="false" customHeight="true" outlineLevel="0" collapsed="false">
      <c r="A817" s="43" t="n">
        <v>816</v>
      </c>
      <c r="B817" s="44" t="s">
        <v>2485</v>
      </c>
      <c r="C817" s="44" t="s">
        <v>2486</v>
      </c>
      <c r="D817" s="44" t="s">
        <v>47</v>
      </c>
      <c r="E817" s="45" t="b">
        <f aca="false">TRUE()</f>
        <v>1</v>
      </c>
      <c r="F817" s="43" t="s">
        <v>44</v>
      </c>
      <c r="G817" s="43" t="n">
        <v>816</v>
      </c>
      <c r="H817" s="44" t="s">
        <v>2487</v>
      </c>
      <c r="I817" s="44" t="s">
        <v>46</v>
      </c>
      <c r="J817" s="44" t="s">
        <v>37</v>
      </c>
      <c r="K817" s="46" t="n">
        <f aca="false">IF(E817=TRUE(),1,0)</f>
        <v>1</v>
      </c>
      <c r="L817" s="47" t="n">
        <v>46218.6768634259</v>
      </c>
    </row>
    <row r="818" customFormat="false" ht="15" hidden="false" customHeight="true" outlineLevel="0" collapsed="false">
      <c r="A818" s="38" t="n">
        <v>817</v>
      </c>
      <c r="B818" s="39" t="s">
        <v>2488</v>
      </c>
      <c r="C818" s="39" t="s">
        <v>2489</v>
      </c>
      <c r="D818" s="39" t="s">
        <v>37</v>
      </c>
      <c r="E818" s="40" t="b">
        <f aca="false">TRUE()</f>
        <v>1</v>
      </c>
      <c r="F818" s="38" t="s">
        <v>44</v>
      </c>
      <c r="G818" s="38" t="n">
        <v>817</v>
      </c>
      <c r="H818" s="39" t="s">
        <v>2490</v>
      </c>
      <c r="I818" s="39" t="s">
        <v>36</v>
      </c>
      <c r="J818" s="39" t="s">
        <v>33</v>
      </c>
      <c r="K818" s="41" t="n">
        <f aca="false">IF(E818=TRUE(),1,0)</f>
        <v>1</v>
      </c>
      <c r="L818" s="42" t="n">
        <v>46218.6780555556</v>
      </c>
    </row>
    <row r="819" customFormat="false" ht="15" hidden="false" customHeight="true" outlineLevel="0" collapsed="false">
      <c r="A819" s="43" t="n">
        <v>818</v>
      </c>
      <c r="B819" s="44" t="s">
        <v>2491</v>
      </c>
      <c r="C819" s="44" t="s">
        <v>2492</v>
      </c>
      <c r="D819" s="44" t="s">
        <v>47</v>
      </c>
      <c r="E819" s="45" t="b">
        <f aca="false">FALSE()</f>
        <v>0</v>
      </c>
      <c r="F819" s="43" t="s">
        <v>40</v>
      </c>
      <c r="G819" s="43" t="n">
        <v>818</v>
      </c>
      <c r="H819" s="44" t="s">
        <v>2493</v>
      </c>
      <c r="I819" s="44" t="s">
        <v>46</v>
      </c>
      <c r="J819" s="44" t="s">
        <v>47</v>
      </c>
      <c r="K819" s="46" t="n">
        <f aca="false">IF(E819=TRUE(),1,0)</f>
        <v>0</v>
      </c>
      <c r="L819" s="44"/>
    </row>
    <row r="820" customFormat="false" ht="15" hidden="false" customHeight="true" outlineLevel="0" collapsed="false">
      <c r="A820" s="38" t="n">
        <v>819</v>
      </c>
      <c r="B820" s="39" t="s">
        <v>2494</v>
      </c>
      <c r="C820" s="39" t="s">
        <v>2495</v>
      </c>
      <c r="D820" s="39" t="s">
        <v>47</v>
      </c>
      <c r="E820" s="40" t="b">
        <f aca="false">TRUE()</f>
        <v>1</v>
      </c>
      <c r="F820" s="38" t="s">
        <v>40</v>
      </c>
      <c r="G820" s="38" t="n">
        <v>819</v>
      </c>
      <c r="H820" s="39" t="s">
        <v>2496</v>
      </c>
      <c r="I820" s="39" t="s">
        <v>36</v>
      </c>
      <c r="J820" s="39" t="s">
        <v>37</v>
      </c>
      <c r="K820" s="41" t="n">
        <f aca="false">IF(E820=TRUE(),1,0)</f>
        <v>1</v>
      </c>
      <c r="L820" s="42" t="n">
        <v>46218.6781481481</v>
      </c>
    </row>
    <row r="821" customFormat="false" ht="15" hidden="false" customHeight="true" outlineLevel="0" collapsed="false">
      <c r="A821" s="43" t="n">
        <v>820</v>
      </c>
      <c r="B821" s="44" t="s">
        <v>2497</v>
      </c>
      <c r="C821" s="44" t="s">
        <v>2498</v>
      </c>
      <c r="D821" s="44" t="s">
        <v>37</v>
      </c>
      <c r="E821" s="45" t="b">
        <f aca="false">FALSE()</f>
        <v>0</v>
      </c>
      <c r="F821" s="43" t="s">
        <v>44</v>
      </c>
      <c r="G821" s="43" t="n">
        <v>820</v>
      </c>
      <c r="H821" s="44" t="s">
        <v>2499</v>
      </c>
      <c r="I821" s="44" t="s">
        <v>36</v>
      </c>
      <c r="J821" s="44" t="s">
        <v>33</v>
      </c>
      <c r="K821" s="46" t="n">
        <f aca="false">IF(E821=TRUE(),1,0)</f>
        <v>0</v>
      </c>
      <c r="L821" s="44"/>
    </row>
    <row r="822" customFormat="false" ht="15" hidden="false" customHeight="true" outlineLevel="0" collapsed="false">
      <c r="A822" s="38" t="n">
        <v>821</v>
      </c>
      <c r="B822" s="39" t="s">
        <v>2500</v>
      </c>
      <c r="C822" s="39" t="s">
        <v>2501</v>
      </c>
      <c r="D822" s="39" t="s">
        <v>33</v>
      </c>
      <c r="E822" s="40" t="b">
        <f aca="false">TRUE()</f>
        <v>1</v>
      </c>
      <c r="F822" s="38" t="s">
        <v>44</v>
      </c>
      <c r="G822" s="38" t="n">
        <v>821</v>
      </c>
      <c r="H822" s="39" t="s">
        <v>2502</v>
      </c>
      <c r="I822" s="39" t="s">
        <v>57</v>
      </c>
      <c r="J822" s="39" t="s">
        <v>33</v>
      </c>
      <c r="K822" s="41" t="n">
        <f aca="false">IF(E822=TRUE(),1,0)</f>
        <v>1</v>
      </c>
      <c r="L822" s="42" t="n">
        <v>46218.6793981482</v>
      </c>
    </row>
    <row r="823" customFormat="false" ht="15" hidden="false" customHeight="true" outlineLevel="0" collapsed="false">
      <c r="A823" s="43" t="n">
        <v>822</v>
      </c>
      <c r="B823" s="44" t="s">
        <v>2503</v>
      </c>
      <c r="C823" s="44" t="s">
        <v>2504</v>
      </c>
      <c r="D823" s="44" t="s">
        <v>37</v>
      </c>
      <c r="E823" s="45" t="b">
        <f aca="false">FALSE()</f>
        <v>0</v>
      </c>
      <c r="F823" s="43" t="s">
        <v>34</v>
      </c>
      <c r="G823" s="43" t="n">
        <v>822</v>
      </c>
      <c r="H823" s="44" t="s">
        <v>2505</v>
      </c>
      <c r="I823" s="44" t="s">
        <v>36</v>
      </c>
      <c r="J823" s="44" t="s">
        <v>33</v>
      </c>
      <c r="K823" s="46" t="n">
        <f aca="false">IF(E823=TRUE(),1,0)</f>
        <v>0</v>
      </c>
      <c r="L823" s="44"/>
    </row>
    <row r="824" customFormat="false" ht="15" hidden="false" customHeight="true" outlineLevel="0" collapsed="false">
      <c r="A824" s="38" t="n">
        <v>823</v>
      </c>
      <c r="B824" s="39" t="s">
        <v>2506</v>
      </c>
      <c r="C824" s="39" t="s">
        <v>2507</v>
      </c>
      <c r="D824" s="39" t="s">
        <v>47</v>
      </c>
      <c r="E824" s="40" t="b">
        <f aca="false">FALSE()</f>
        <v>0</v>
      </c>
      <c r="F824" s="38" t="s">
        <v>44</v>
      </c>
      <c r="G824" s="38" t="n">
        <v>823</v>
      </c>
      <c r="H824" s="39" t="s">
        <v>2508</v>
      </c>
      <c r="I824" s="39" t="s">
        <v>36</v>
      </c>
      <c r="J824" s="39" t="s">
        <v>33</v>
      </c>
      <c r="K824" s="41" t="n">
        <f aca="false">IF(E824=TRUE(),1,0)</f>
        <v>0</v>
      </c>
      <c r="L824" s="39"/>
    </row>
    <row r="825" customFormat="false" ht="15" hidden="false" customHeight="true" outlineLevel="0" collapsed="false">
      <c r="A825" s="43" t="n">
        <v>824</v>
      </c>
      <c r="B825" s="44" t="s">
        <v>2509</v>
      </c>
      <c r="C825" s="44" t="s">
        <v>2510</v>
      </c>
      <c r="D825" s="44" t="s">
        <v>37</v>
      </c>
      <c r="E825" s="45" t="b">
        <f aca="false">FALSE()</f>
        <v>0</v>
      </c>
      <c r="F825" s="43" t="s">
        <v>44</v>
      </c>
      <c r="G825" s="43" t="n">
        <v>824</v>
      </c>
      <c r="H825" s="44" t="s">
        <v>2511</v>
      </c>
      <c r="I825" s="44" t="s">
        <v>36</v>
      </c>
      <c r="J825" s="44" t="s">
        <v>33</v>
      </c>
      <c r="K825" s="46" t="n">
        <f aca="false">IF(E825=TRUE(),1,0)</f>
        <v>0</v>
      </c>
      <c r="L825" s="44"/>
    </row>
    <row r="826" customFormat="false" ht="15" hidden="false" customHeight="true" outlineLevel="0" collapsed="false">
      <c r="A826" s="38" t="n">
        <v>825</v>
      </c>
      <c r="B826" s="39" t="s">
        <v>2512</v>
      </c>
      <c r="C826" s="39" t="s">
        <v>2513</v>
      </c>
      <c r="D826" s="39" t="s">
        <v>33</v>
      </c>
      <c r="E826" s="40" t="b">
        <f aca="false">FALSE()</f>
        <v>0</v>
      </c>
      <c r="F826" s="38" t="s">
        <v>34</v>
      </c>
      <c r="G826" s="38" t="n">
        <v>825</v>
      </c>
      <c r="H826" s="39" t="s">
        <v>2514</v>
      </c>
      <c r="I826" s="39" t="s">
        <v>46</v>
      </c>
      <c r="J826" s="39" t="s">
        <v>33</v>
      </c>
      <c r="K826" s="41" t="n">
        <f aca="false">IF(E826=TRUE(),1,0)</f>
        <v>0</v>
      </c>
      <c r="L826" s="39"/>
    </row>
    <row r="827" customFormat="false" ht="15" hidden="false" customHeight="true" outlineLevel="0" collapsed="false">
      <c r="A827" s="43" t="n">
        <v>826</v>
      </c>
      <c r="B827" s="44" t="s">
        <v>2515</v>
      </c>
      <c r="C827" s="44" t="s">
        <v>2516</v>
      </c>
      <c r="D827" s="44" t="s">
        <v>37</v>
      </c>
      <c r="E827" s="45" t="b">
        <f aca="false">TRUE()</f>
        <v>1</v>
      </c>
      <c r="F827" s="43" t="s">
        <v>40</v>
      </c>
      <c r="G827" s="43" t="n">
        <v>826</v>
      </c>
      <c r="H827" s="44" t="s">
        <v>2517</v>
      </c>
      <c r="I827" s="44" t="s">
        <v>46</v>
      </c>
      <c r="J827" s="44" t="s">
        <v>47</v>
      </c>
      <c r="K827" s="46" t="n">
        <f aca="false">IF(E827=TRUE(),1,0)</f>
        <v>1</v>
      </c>
      <c r="L827" s="47" t="n">
        <v>46218.6795833333</v>
      </c>
    </row>
    <row r="828" customFormat="false" ht="15" hidden="false" customHeight="true" outlineLevel="0" collapsed="false">
      <c r="A828" s="38" t="n">
        <v>827</v>
      </c>
      <c r="B828" s="39" t="s">
        <v>2518</v>
      </c>
      <c r="C828" s="39" t="s">
        <v>2519</v>
      </c>
      <c r="D828" s="39" t="s">
        <v>47</v>
      </c>
      <c r="E828" s="40" t="b">
        <f aca="false">TRUE()</f>
        <v>1</v>
      </c>
      <c r="F828" s="38" t="s">
        <v>44</v>
      </c>
      <c r="G828" s="38" t="n">
        <v>827</v>
      </c>
      <c r="H828" s="39" t="s">
        <v>2520</v>
      </c>
      <c r="I828" s="39" t="s">
        <v>57</v>
      </c>
      <c r="J828" s="39" t="s">
        <v>33</v>
      </c>
      <c r="K828" s="41" t="n">
        <f aca="false">IF(E828=TRUE(),1,0)</f>
        <v>1</v>
      </c>
      <c r="L828" s="42" t="n">
        <v>46218.6816550926</v>
      </c>
    </row>
    <row r="829" customFormat="false" ht="15" hidden="false" customHeight="true" outlineLevel="0" collapsed="false">
      <c r="A829" s="43" t="n">
        <v>828</v>
      </c>
      <c r="B829" s="44" t="s">
        <v>2521</v>
      </c>
      <c r="C829" s="44" t="s">
        <v>2522</v>
      </c>
      <c r="D829" s="44" t="s">
        <v>47</v>
      </c>
      <c r="E829" s="45" t="b">
        <f aca="false">FALSE()</f>
        <v>0</v>
      </c>
      <c r="F829" s="43" t="s">
        <v>34</v>
      </c>
      <c r="G829" s="43" t="n">
        <v>828</v>
      </c>
      <c r="H829" s="44" t="s">
        <v>2523</v>
      </c>
      <c r="I829" s="44" t="s">
        <v>57</v>
      </c>
      <c r="J829" s="44" t="s">
        <v>33</v>
      </c>
      <c r="K829" s="46" t="n">
        <f aca="false">IF(E829=TRUE(),1,0)</f>
        <v>0</v>
      </c>
      <c r="L829" s="44"/>
    </row>
    <row r="830" customFormat="false" ht="15" hidden="false" customHeight="true" outlineLevel="0" collapsed="false">
      <c r="A830" s="38" t="n">
        <v>829</v>
      </c>
      <c r="B830" s="39" t="s">
        <v>2524</v>
      </c>
      <c r="C830" s="39" t="s">
        <v>2525</v>
      </c>
      <c r="D830" s="39" t="s">
        <v>47</v>
      </c>
      <c r="E830" s="40" t="b">
        <f aca="false">TRUE()</f>
        <v>1</v>
      </c>
      <c r="F830" s="38" t="s">
        <v>40</v>
      </c>
      <c r="G830" s="38" t="n">
        <v>829</v>
      </c>
      <c r="H830" s="39" t="s">
        <v>2526</v>
      </c>
      <c r="I830" s="39" t="s">
        <v>46</v>
      </c>
      <c r="J830" s="39" t="s">
        <v>33</v>
      </c>
      <c r="K830" s="41" t="n">
        <f aca="false">IF(E830=TRUE(),1,0)</f>
        <v>1</v>
      </c>
      <c r="L830" s="42" t="n">
        <v>46218.6826388889</v>
      </c>
    </row>
    <row r="831" customFormat="false" ht="15" hidden="false" customHeight="true" outlineLevel="0" collapsed="false">
      <c r="A831" s="43" t="n">
        <v>830</v>
      </c>
      <c r="B831" s="44" t="s">
        <v>2527</v>
      </c>
      <c r="C831" s="44" t="s">
        <v>2528</v>
      </c>
      <c r="D831" s="44" t="s">
        <v>47</v>
      </c>
      <c r="E831" s="45" t="b">
        <f aca="false">TRUE()</f>
        <v>1</v>
      </c>
      <c r="F831" s="43" t="s">
        <v>40</v>
      </c>
      <c r="G831" s="43" t="n">
        <v>830</v>
      </c>
      <c r="H831" s="44" t="s">
        <v>2529</v>
      </c>
      <c r="I831" s="44" t="s">
        <v>36</v>
      </c>
      <c r="J831" s="44" t="s">
        <v>33</v>
      </c>
      <c r="K831" s="46" t="n">
        <f aca="false">IF(E831=TRUE(),1,0)</f>
        <v>1</v>
      </c>
      <c r="L831" s="47" t="n">
        <v>46218.6842476852</v>
      </c>
    </row>
    <row r="832" customFormat="false" ht="15" hidden="false" customHeight="true" outlineLevel="0" collapsed="false">
      <c r="A832" s="38" t="n">
        <v>831</v>
      </c>
      <c r="B832" s="39" t="s">
        <v>2530</v>
      </c>
      <c r="C832" s="39" t="s">
        <v>2531</v>
      </c>
      <c r="D832" s="39" t="s">
        <v>37</v>
      </c>
      <c r="E832" s="40" t="b">
        <f aca="false">FALSE()</f>
        <v>0</v>
      </c>
      <c r="F832" s="38" t="s">
        <v>34</v>
      </c>
      <c r="G832" s="38" t="n">
        <v>831</v>
      </c>
      <c r="H832" s="39" t="s">
        <v>2532</v>
      </c>
      <c r="I832" s="39" t="s">
        <v>36</v>
      </c>
      <c r="J832" s="39" t="s">
        <v>47</v>
      </c>
      <c r="K832" s="41" t="n">
        <f aca="false">IF(E832=TRUE(),1,0)</f>
        <v>0</v>
      </c>
      <c r="L832" s="39"/>
    </row>
    <row r="833" customFormat="false" ht="15" hidden="false" customHeight="true" outlineLevel="0" collapsed="false">
      <c r="A833" s="43" t="n">
        <v>832</v>
      </c>
      <c r="B833" s="44" t="s">
        <v>2533</v>
      </c>
      <c r="C833" s="44" t="s">
        <v>2534</v>
      </c>
      <c r="D833" s="44" t="s">
        <v>33</v>
      </c>
      <c r="E833" s="45" t="b">
        <f aca="false">TRUE()</f>
        <v>1</v>
      </c>
      <c r="F833" s="43" t="s">
        <v>44</v>
      </c>
      <c r="G833" s="43" t="n">
        <v>832</v>
      </c>
      <c r="H833" s="44" t="s">
        <v>2535</v>
      </c>
      <c r="I833" s="44" t="s">
        <v>57</v>
      </c>
      <c r="J833" s="44" t="s">
        <v>33</v>
      </c>
      <c r="K833" s="46" t="n">
        <f aca="false">IF(E833=TRUE(),1,0)</f>
        <v>1</v>
      </c>
      <c r="L833" s="47" t="n">
        <v>46218.6860300926</v>
      </c>
    </row>
    <row r="834" customFormat="false" ht="15" hidden="false" customHeight="true" outlineLevel="0" collapsed="false">
      <c r="A834" s="38" t="n">
        <v>833</v>
      </c>
      <c r="B834" s="39" t="s">
        <v>2536</v>
      </c>
      <c r="C834" s="39" t="s">
        <v>2537</v>
      </c>
      <c r="D834" s="39" t="s">
        <v>47</v>
      </c>
      <c r="E834" s="40" t="b">
        <f aca="false">TRUE()</f>
        <v>1</v>
      </c>
      <c r="F834" s="38" t="s">
        <v>40</v>
      </c>
      <c r="G834" s="38" t="n">
        <v>833</v>
      </c>
      <c r="H834" s="39" t="s">
        <v>2538</v>
      </c>
      <c r="I834" s="39" t="s">
        <v>46</v>
      </c>
      <c r="J834" s="39" t="s">
        <v>37</v>
      </c>
      <c r="K834" s="41" t="n">
        <f aca="false">IF(E834=TRUE(),1,0)</f>
        <v>1</v>
      </c>
      <c r="L834" s="42" t="n">
        <v>46218.6882060185</v>
      </c>
    </row>
    <row r="835" customFormat="false" ht="15" hidden="false" customHeight="true" outlineLevel="0" collapsed="false">
      <c r="A835" s="43" t="n">
        <v>834</v>
      </c>
      <c r="B835" s="44" t="s">
        <v>2539</v>
      </c>
      <c r="C835" s="44" t="s">
        <v>2540</v>
      </c>
      <c r="D835" s="44" t="s">
        <v>47</v>
      </c>
      <c r="E835" s="45" t="b">
        <f aca="false">TRUE()</f>
        <v>1</v>
      </c>
      <c r="F835" s="43" t="s">
        <v>34</v>
      </c>
      <c r="G835" s="43" t="n">
        <v>834</v>
      </c>
      <c r="H835" s="44" t="s">
        <v>2541</v>
      </c>
      <c r="I835" s="44" t="s">
        <v>46</v>
      </c>
      <c r="J835" s="44" t="s">
        <v>33</v>
      </c>
      <c r="K835" s="46" t="n">
        <f aca="false">IF(E835=TRUE(),1,0)</f>
        <v>1</v>
      </c>
      <c r="L835" s="47" t="n">
        <v>46218.6919097222</v>
      </c>
    </row>
    <row r="836" customFormat="false" ht="15" hidden="false" customHeight="true" outlineLevel="0" collapsed="false">
      <c r="A836" s="38" t="n">
        <v>835</v>
      </c>
      <c r="B836" s="39" t="s">
        <v>2542</v>
      </c>
      <c r="C836" s="39" t="s">
        <v>2543</v>
      </c>
      <c r="D836" s="39" t="s">
        <v>33</v>
      </c>
      <c r="E836" s="40" t="b">
        <f aca="false">TRUE()</f>
        <v>1</v>
      </c>
      <c r="F836" s="38" t="s">
        <v>34</v>
      </c>
      <c r="G836" s="38" t="n">
        <v>835</v>
      </c>
      <c r="H836" s="39" t="s">
        <v>2544</v>
      </c>
      <c r="I836" s="39" t="s">
        <v>46</v>
      </c>
      <c r="J836" s="39" t="s">
        <v>33</v>
      </c>
      <c r="K836" s="41" t="n">
        <f aca="false">IF(E836=TRUE(),1,0)</f>
        <v>1</v>
      </c>
      <c r="L836" s="42" t="n">
        <v>46218.6928703704</v>
      </c>
    </row>
    <row r="837" customFormat="false" ht="15" hidden="false" customHeight="true" outlineLevel="0" collapsed="false">
      <c r="A837" s="43" t="n">
        <v>836</v>
      </c>
      <c r="B837" s="44" t="s">
        <v>2545</v>
      </c>
      <c r="C837" s="44" t="s">
        <v>2546</v>
      </c>
      <c r="D837" s="44" t="s">
        <v>33</v>
      </c>
      <c r="E837" s="45" t="b">
        <f aca="false">FALSE()</f>
        <v>0</v>
      </c>
      <c r="F837" s="43" t="s">
        <v>44</v>
      </c>
      <c r="G837" s="43" t="n">
        <v>836</v>
      </c>
      <c r="H837" s="44" t="s">
        <v>2547</v>
      </c>
      <c r="I837" s="44" t="s">
        <v>57</v>
      </c>
      <c r="J837" s="44" t="s">
        <v>47</v>
      </c>
      <c r="K837" s="46" t="n">
        <f aca="false">IF(E837=TRUE(),1,0)</f>
        <v>0</v>
      </c>
      <c r="L837" s="44"/>
    </row>
    <row r="838" customFormat="false" ht="15" hidden="false" customHeight="true" outlineLevel="0" collapsed="false">
      <c r="A838" s="38" t="n">
        <v>837</v>
      </c>
      <c r="B838" s="39" t="s">
        <v>2548</v>
      </c>
      <c r="C838" s="39" t="s">
        <v>2549</v>
      </c>
      <c r="D838" s="39" t="s">
        <v>37</v>
      </c>
      <c r="E838" s="40" t="b">
        <f aca="false">FALSE()</f>
        <v>0</v>
      </c>
      <c r="F838" s="38" t="s">
        <v>44</v>
      </c>
      <c r="G838" s="38" t="n">
        <v>837</v>
      </c>
      <c r="H838" s="39" t="s">
        <v>2550</v>
      </c>
      <c r="I838" s="39" t="s">
        <v>46</v>
      </c>
      <c r="J838" s="39" t="s">
        <v>47</v>
      </c>
      <c r="K838" s="41" t="n">
        <f aca="false">IF(E838=TRUE(),1,0)</f>
        <v>0</v>
      </c>
      <c r="L838" s="39"/>
    </row>
    <row r="839" customFormat="false" ht="15" hidden="false" customHeight="true" outlineLevel="0" collapsed="false">
      <c r="A839" s="43" t="n">
        <v>838</v>
      </c>
      <c r="B839" s="44" t="s">
        <v>2551</v>
      </c>
      <c r="C839" s="44" t="s">
        <v>2552</v>
      </c>
      <c r="D839" s="44" t="s">
        <v>37</v>
      </c>
      <c r="E839" s="45" t="b">
        <f aca="false">TRUE()</f>
        <v>1</v>
      </c>
      <c r="F839" s="43" t="s">
        <v>40</v>
      </c>
      <c r="G839" s="43" t="n">
        <v>838</v>
      </c>
      <c r="H839" s="44" t="s">
        <v>2553</v>
      </c>
      <c r="I839" s="44" t="s">
        <v>57</v>
      </c>
      <c r="J839" s="44" t="s">
        <v>33</v>
      </c>
      <c r="K839" s="46" t="n">
        <f aca="false">IF(E839=TRUE(),1,0)</f>
        <v>1</v>
      </c>
      <c r="L839" s="47" t="n">
        <v>46218.6930092593</v>
      </c>
    </row>
    <row r="840" customFormat="false" ht="15" hidden="false" customHeight="true" outlineLevel="0" collapsed="false">
      <c r="A840" s="38" t="n">
        <v>839</v>
      </c>
      <c r="B840" s="39" t="s">
        <v>2554</v>
      </c>
      <c r="C840" s="39" t="s">
        <v>2555</v>
      </c>
      <c r="D840" s="39" t="s">
        <v>33</v>
      </c>
      <c r="E840" s="40" t="b">
        <f aca="false">TRUE()</f>
        <v>1</v>
      </c>
      <c r="F840" s="38" t="s">
        <v>34</v>
      </c>
      <c r="G840" s="38" t="n">
        <v>839</v>
      </c>
      <c r="H840" s="39" t="s">
        <v>2556</v>
      </c>
      <c r="I840" s="39" t="s">
        <v>36</v>
      </c>
      <c r="J840" s="39" t="s">
        <v>33</v>
      </c>
      <c r="K840" s="41" t="n">
        <f aca="false">IF(E840=TRUE(),1,0)</f>
        <v>1</v>
      </c>
      <c r="L840" s="42" t="n">
        <v>46218.6939467593</v>
      </c>
    </row>
    <row r="841" customFormat="false" ht="15" hidden="false" customHeight="true" outlineLevel="0" collapsed="false">
      <c r="A841" s="43" t="n">
        <v>840</v>
      </c>
      <c r="B841" s="44" t="s">
        <v>2557</v>
      </c>
      <c r="C841" s="44" t="s">
        <v>2558</v>
      </c>
      <c r="D841" s="44" t="s">
        <v>33</v>
      </c>
      <c r="E841" s="45" t="b">
        <f aca="false">FALSE()</f>
        <v>0</v>
      </c>
      <c r="F841" s="43" t="s">
        <v>44</v>
      </c>
      <c r="G841" s="43" t="n">
        <v>840</v>
      </c>
      <c r="H841" s="44" t="s">
        <v>2559</v>
      </c>
      <c r="I841" s="44" t="s">
        <v>46</v>
      </c>
      <c r="J841" s="44" t="s">
        <v>33</v>
      </c>
      <c r="K841" s="46" t="n">
        <f aca="false">IF(E841=TRUE(),1,0)</f>
        <v>0</v>
      </c>
      <c r="L841" s="44"/>
    </row>
    <row r="842" customFormat="false" ht="15" hidden="false" customHeight="true" outlineLevel="0" collapsed="false">
      <c r="A842" s="38" t="n">
        <v>841</v>
      </c>
      <c r="B842" s="39" t="s">
        <v>2560</v>
      </c>
      <c r="C842" s="39" t="s">
        <v>2561</v>
      </c>
      <c r="D842" s="39" t="s">
        <v>47</v>
      </c>
      <c r="E842" s="40" t="b">
        <f aca="false">FALSE()</f>
        <v>0</v>
      </c>
      <c r="F842" s="38" t="s">
        <v>40</v>
      </c>
      <c r="G842" s="38" t="n">
        <v>841</v>
      </c>
      <c r="H842" s="39" t="s">
        <v>2562</v>
      </c>
      <c r="I842" s="39" t="s">
        <v>46</v>
      </c>
      <c r="J842" s="39" t="s">
        <v>33</v>
      </c>
      <c r="K842" s="41" t="n">
        <f aca="false">IF(E842=TRUE(),1,0)</f>
        <v>0</v>
      </c>
      <c r="L842" s="39"/>
    </row>
    <row r="843" customFormat="false" ht="15" hidden="false" customHeight="true" outlineLevel="0" collapsed="false">
      <c r="A843" s="43" t="n">
        <v>842</v>
      </c>
      <c r="B843" s="44" t="s">
        <v>2563</v>
      </c>
      <c r="C843" s="44" t="s">
        <v>2564</v>
      </c>
      <c r="D843" s="44" t="s">
        <v>47</v>
      </c>
      <c r="E843" s="45" t="b">
        <f aca="false">TRUE()</f>
        <v>1</v>
      </c>
      <c r="F843" s="43" t="s">
        <v>44</v>
      </c>
      <c r="G843" s="43" t="n">
        <v>842</v>
      </c>
      <c r="H843" s="44" t="s">
        <v>2565</v>
      </c>
      <c r="I843" s="44" t="s">
        <v>36</v>
      </c>
      <c r="J843" s="44" t="s">
        <v>47</v>
      </c>
      <c r="K843" s="46" t="n">
        <f aca="false">IF(E843=TRUE(),1,0)</f>
        <v>1</v>
      </c>
      <c r="L843" s="47" t="n">
        <v>46218.694525463</v>
      </c>
    </row>
    <row r="844" customFormat="false" ht="15" hidden="false" customHeight="true" outlineLevel="0" collapsed="false">
      <c r="A844" s="38" t="n">
        <v>843</v>
      </c>
      <c r="B844" s="39" t="s">
        <v>2566</v>
      </c>
      <c r="C844" s="39" t="s">
        <v>2567</v>
      </c>
      <c r="D844" s="39" t="s">
        <v>33</v>
      </c>
      <c r="E844" s="40" t="b">
        <f aca="false">FALSE()</f>
        <v>0</v>
      </c>
      <c r="F844" s="38" t="s">
        <v>40</v>
      </c>
      <c r="G844" s="38" t="n">
        <v>843</v>
      </c>
      <c r="H844" s="39" t="s">
        <v>2568</v>
      </c>
      <c r="I844" s="39" t="s">
        <v>46</v>
      </c>
      <c r="J844" s="39" t="s">
        <v>33</v>
      </c>
      <c r="K844" s="41" t="n">
        <f aca="false">IF(E844=TRUE(),1,0)</f>
        <v>0</v>
      </c>
      <c r="L844" s="39"/>
    </row>
    <row r="845" customFormat="false" ht="15" hidden="false" customHeight="true" outlineLevel="0" collapsed="false">
      <c r="A845" s="43" t="n">
        <v>844</v>
      </c>
      <c r="B845" s="44" t="s">
        <v>2569</v>
      </c>
      <c r="C845" s="44" t="s">
        <v>2570</v>
      </c>
      <c r="D845" s="44" t="s">
        <v>37</v>
      </c>
      <c r="E845" s="45" t="b">
        <f aca="false">FALSE()</f>
        <v>0</v>
      </c>
      <c r="F845" s="43" t="s">
        <v>34</v>
      </c>
      <c r="G845" s="43" t="n">
        <v>844</v>
      </c>
      <c r="H845" s="44" t="s">
        <v>2571</v>
      </c>
      <c r="I845" s="44" t="s">
        <v>57</v>
      </c>
      <c r="J845" s="44" t="s">
        <v>47</v>
      </c>
      <c r="K845" s="46" t="n">
        <f aca="false">IF(E845=TRUE(),1,0)</f>
        <v>0</v>
      </c>
      <c r="L845" s="44"/>
    </row>
    <row r="846" customFormat="false" ht="15" hidden="false" customHeight="true" outlineLevel="0" collapsed="false">
      <c r="A846" s="38" t="n">
        <v>845</v>
      </c>
      <c r="B846" s="39" t="s">
        <v>2572</v>
      </c>
      <c r="C846" s="39" t="s">
        <v>2573</v>
      </c>
      <c r="D846" s="39" t="s">
        <v>33</v>
      </c>
      <c r="E846" s="40" t="b">
        <f aca="false">FALSE()</f>
        <v>0</v>
      </c>
      <c r="F846" s="38" t="s">
        <v>44</v>
      </c>
      <c r="G846" s="38" t="n">
        <v>845</v>
      </c>
      <c r="H846" s="39" t="s">
        <v>2574</v>
      </c>
      <c r="I846" s="39" t="s">
        <v>36</v>
      </c>
      <c r="J846" s="39" t="s">
        <v>47</v>
      </c>
      <c r="K846" s="41" t="n">
        <f aca="false">IF(E846=TRUE(),1,0)</f>
        <v>0</v>
      </c>
      <c r="L846" s="39"/>
    </row>
    <row r="847" customFormat="false" ht="15" hidden="false" customHeight="true" outlineLevel="0" collapsed="false">
      <c r="A847" s="43" t="n">
        <v>846</v>
      </c>
      <c r="B847" s="44" t="s">
        <v>2575</v>
      </c>
      <c r="C847" s="44" t="s">
        <v>2576</v>
      </c>
      <c r="D847" s="44" t="s">
        <v>33</v>
      </c>
      <c r="E847" s="45" t="b">
        <f aca="false">FALSE()</f>
        <v>0</v>
      </c>
      <c r="F847" s="43" t="s">
        <v>40</v>
      </c>
      <c r="G847" s="43" t="n">
        <v>846</v>
      </c>
      <c r="H847" s="44" t="s">
        <v>2577</v>
      </c>
      <c r="I847" s="44" t="s">
        <v>46</v>
      </c>
      <c r="J847" s="44" t="s">
        <v>33</v>
      </c>
      <c r="K847" s="46" t="n">
        <f aca="false">IF(E847=TRUE(),1,0)</f>
        <v>0</v>
      </c>
      <c r="L847" s="44"/>
    </row>
    <row r="848" customFormat="false" ht="15" hidden="false" customHeight="true" outlineLevel="0" collapsed="false">
      <c r="A848" s="38" t="n">
        <v>847</v>
      </c>
      <c r="B848" s="39" t="s">
        <v>2578</v>
      </c>
      <c r="C848" s="39" t="s">
        <v>2579</v>
      </c>
      <c r="D848" s="39" t="s">
        <v>47</v>
      </c>
      <c r="E848" s="40" t="b">
        <f aca="false">TRUE()</f>
        <v>1</v>
      </c>
      <c r="F848" s="38" t="s">
        <v>34</v>
      </c>
      <c r="G848" s="38" t="n">
        <v>847</v>
      </c>
      <c r="H848" s="39" t="s">
        <v>2580</v>
      </c>
      <c r="I848" s="39" t="s">
        <v>57</v>
      </c>
      <c r="J848" s="39" t="s">
        <v>37</v>
      </c>
      <c r="K848" s="41" t="n">
        <f aca="false">IF(E848=TRUE(),1,0)</f>
        <v>1</v>
      </c>
      <c r="L848" s="42" t="n">
        <v>46218.6957291667</v>
      </c>
    </row>
    <row r="849" customFormat="false" ht="15" hidden="false" customHeight="true" outlineLevel="0" collapsed="false">
      <c r="A849" s="43" t="n">
        <v>848</v>
      </c>
      <c r="B849" s="44" t="s">
        <v>2581</v>
      </c>
      <c r="C849" s="44" t="s">
        <v>2582</v>
      </c>
      <c r="D849" s="44" t="s">
        <v>33</v>
      </c>
      <c r="E849" s="45" t="b">
        <f aca="false">FALSE()</f>
        <v>0</v>
      </c>
      <c r="F849" s="43" t="s">
        <v>40</v>
      </c>
      <c r="G849" s="43" t="n">
        <v>848</v>
      </c>
      <c r="H849" s="44" t="s">
        <v>2583</v>
      </c>
      <c r="I849" s="44" t="s">
        <v>46</v>
      </c>
      <c r="J849" s="44" t="s">
        <v>33</v>
      </c>
      <c r="K849" s="46" t="n">
        <f aca="false">IF(E849=TRUE(),1,0)</f>
        <v>0</v>
      </c>
      <c r="L849" s="44"/>
    </row>
    <row r="850" customFormat="false" ht="15" hidden="false" customHeight="true" outlineLevel="0" collapsed="false">
      <c r="A850" s="38" t="n">
        <v>849</v>
      </c>
      <c r="B850" s="39" t="s">
        <v>2584</v>
      </c>
      <c r="C850" s="39" t="s">
        <v>2585</v>
      </c>
      <c r="D850" s="39" t="s">
        <v>33</v>
      </c>
      <c r="E850" s="40" t="b">
        <f aca="false">TRUE()</f>
        <v>1</v>
      </c>
      <c r="F850" s="38" t="s">
        <v>44</v>
      </c>
      <c r="G850" s="38" t="n">
        <v>849</v>
      </c>
      <c r="H850" s="39" t="s">
        <v>2586</v>
      </c>
      <c r="I850" s="39" t="s">
        <v>36</v>
      </c>
      <c r="J850" s="39" t="s">
        <v>47</v>
      </c>
      <c r="K850" s="41" t="n">
        <f aca="false">IF(E850=TRUE(),1,0)</f>
        <v>1</v>
      </c>
      <c r="L850" s="42" t="n">
        <v>46218.6968171296</v>
      </c>
    </row>
    <row r="851" customFormat="false" ht="15" hidden="false" customHeight="true" outlineLevel="0" collapsed="false">
      <c r="A851" s="43" t="n">
        <v>850</v>
      </c>
      <c r="B851" s="44" t="s">
        <v>2587</v>
      </c>
      <c r="C851" s="44" t="s">
        <v>2588</v>
      </c>
      <c r="D851" s="44" t="s">
        <v>47</v>
      </c>
      <c r="E851" s="45" t="b">
        <f aca="false">FALSE()</f>
        <v>0</v>
      </c>
      <c r="F851" s="43" t="s">
        <v>44</v>
      </c>
      <c r="G851" s="43" t="n">
        <v>850</v>
      </c>
      <c r="H851" s="44" t="s">
        <v>2589</v>
      </c>
      <c r="I851" s="44" t="s">
        <v>57</v>
      </c>
      <c r="J851" s="44" t="s">
        <v>33</v>
      </c>
      <c r="K851" s="46" t="n">
        <f aca="false">IF(E851=TRUE(),1,0)</f>
        <v>0</v>
      </c>
      <c r="L851" s="44"/>
    </row>
    <row r="852" customFormat="false" ht="15" hidden="false" customHeight="true" outlineLevel="0" collapsed="false">
      <c r="A852" s="38" t="n">
        <v>851</v>
      </c>
      <c r="B852" s="39" t="s">
        <v>2590</v>
      </c>
      <c r="C852" s="39" t="s">
        <v>2591</v>
      </c>
      <c r="D852" s="39" t="s">
        <v>47</v>
      </c>
      <c r="E852" s="40" t="b">
        <f aca="false">FALSE()</f>
        <v>0</v>
      </c>
      <c r="F852" s="38" t="s">
        <v>44</v>
      </c>
      <c r="G852" s="38" t="n">
        <v>851</v>
      </c>
      <c r="H852" s="39" t="s">
        <v>2592</v>
      </c>
      <c r="I852" s="39" t="s">
        <v>36</v>
      </c>
      <c r="J852" s="39" t="s">
        <v>47</v>
      </c>
      <c r="K852" s="41" t="n">
        <f aca="false">IF(E852=TRUE(),1,0)</f>
        <v>0</v>
      </c>
      <c r="L852" s="39"/>
    </row>
    <row r="853" customFormat="false" ht="15" hidden="false" customHeight="true" outlineLevel="0" collapsed="false">
      <c r="A853" s="43" t="n">
        <v>852</v>
      </c>
      <c r="B853" s="44" t="s">
        <v>2593</v>
      </c>
      <c r="C853" s="44" t="s">
        <v>2594</v>
      </c>
      <c r="D853" s="44" t="s">
        <v>47</v>
      </c>
      <c r="E853" s="45" t="b">
        <f aca="false">FALSE()</f>
        <v>0</v>
      </c>
      <c r="F853" s="43" t="s">
        <v>40</v>
      </c>
      <c r="G853" s="43" t="n">
        <v>852</v>
      </c>
      <c r="H853" s="44" t="s">
        <v>2595</v>
      </c>
      <c r="I853" s="44" t="s">
        <v>57</v>
      </c>
      <c r="J853" s="44" t="s">
        <v>33</v>
      </c>
      <c r="K853" s="46" t="n">
        <f aca="false">IF(E853=TRUE(),1,0)</f>
        <v>0</v>
      </c>
      <c r="L853" s="44"/>
    </row>
    <row r="854" customFormat="false" ht="15" hidden="false" customHeight="true" outlineLevel="0" collapsed="false">
      <c r="A854" s="38" t="n">
        <v>853</v>
      </c>
      <c r="B854" s="39" t="s">
        <v>2596</v>
      </c>
      <c r="C854" s="39" t="s">
        <v>2597</v>
      </c>
      <c r="D854" s="39" t="s">
        <v>47</v>
      </c>
      <c r="E854" s="40" t="b">
        <f aca="false">TRUE()</f>
        <v>1</v>
      </c>
      <c r="F854" s="38" t="s">
        <v>40</v>
      </c>
      <c r="G854" s="38" t="n">
        <v>853</v>
      </c>
      <c r="H854" s="39" t="s">
        <v>2598</v>
      </c>
      <c r="I854" s="39" t="s">
        <v>57</v>
      </c>
      <c r="J854" s="39" t="s">
        <v>47</v>
      </c>
      <c r="K854" s="41" t="n">
        <f aca="false">IF(E854=TRUE(),1,0)</f>
        <v>1</v>
      </c>
      <c r="L854" s="42" t="n">
        <v>46218.6983912037</v>
      </c>
    </row>
    <row r="855" customFormat="false" ht="15" hidden="false" customHeight="true" outlineLevel="0" collapsed="false">
      <c r="A855" s="43" t="n">
        <v>854</v>
      </c>
      <c r="B855" s="44" t="s">
        <v>2599</v>
      </c>
      <c r="C855" s="44" t="s">
        <v>2600</v>
      </c>
      <c r="D855" s="44" t="s">
        <v>33</v>
      </c>
      <c r="E855" s="45" t="b">
        <f aca="false">TRUE()</f>
        <v>1</v>
      </c>
      <c r="F855" s="43" t="s">
        <v>40</v>
      </c>
      <c r="G855" s="43" t="n">
        <v>854</v>
      </c>
      <c r="H855" s="44" t="s">
        <v>2601</v>
      </c>
      <c r="I855" s="44" t="s">
        <v>57</v>
      </c>
      <c r="J855" s="44" t="s">
        <v>37</v>
      </c>
      <c r="K855" s="46" t="n">
        <f aca="false">IF(E855=TRUE(),1,0)</f>
        <v>1</v>
      </c>
      <c r="L855" s="47" t="n">
        <v>46218.6984027778</v>
      </c>
    </row>
    <row r="856" customFormat="false" ht="15" hidden="false" customHeight="true" outlineLevel="0" collapsed="false">
      <c r="A856" s="38" t="n">
        <v>855</v>
      </c>
      <c r="B856" s="39" t="s">
        <v>2602</v>
      </c>
      <c r="C856" s="39" t="s">
        <v>2603</v>
      </c>
      <c r="D856" s="39" t="s">
        <v>47</v>
      </c>
      <c r="E856" s="40" t="b">
        <f aca="false">FALSE()</f>
        <v>0</v>
      </c>
      <c r="F856" s="38" t="s">
        <v>44</v>
      </c>
      <c r="G856" s="38" t="n">
        <v>855</v>
      </c>
      <c r="H856" s="39" t="s">
        <v>2604</v>
      </c>
      <c r="I856" s="39" t="s">
        <v>46</v>
      </c>
      <c r="J856" s="39" t="s">
        <v>37</v>
      </c>
      <c r="K856" s="41" t="n">
        <f aca="false">IF(E856=TRUE(),1,0)</f>
        <v>0</v>
      </c>
      <c r="L856" s="39"/>
    </row>
    <row r="857" customFormat="false" ht="15" hidden="false" customHeight="true" outlineLevel="0" collapsed="false">
      <c r="A857" s="43" t="n">
        <v>856</v>
      </c>
      <c r="B857" s="44" t="s">
        <v>2605</v>
      </c>
      <c r="C857" s="44" t="s">
        <v>2606</v>
      </c>
      <c r="D857" s="44" t="s">
        <v>33</v>
      </c>
      <c r="E857" s="45" t="b">
        <f aca="false">FALSE()</f>
        <v>0</v>
      </c>
      <c r="F857" s="43" t="s">
        <v>44</v>
      </c>
      <c r="G857" s="43" t="n">
        <v>856</v>
      </c>
      <c r="H857" s="44" t="s">
        <v>2607</v>
      </c>
      <c r="I857" s="44" t="s">
        <v>57</v>
      </c>
      <c r="J857" s="44" t="s">
        <v>37</v>
      </c>
      <c r="K857" s="46" t="n">
        <f aca="false">IF(E857=TRUE(),1,0)</f>
        <v>0</v>
      </c>
      <c r="L857" s="44"/>
    </row>
    <row r="858" customFormat="false" ht="15" hidden="false" customHeight="true" outlineLevel="0" collapsed="false">
      <c r="A858" s="38" t="n">
        <v>857</v>
      </c>
      <c r="B858" s="39" t="s">
        <v>2608</v>
      </c>
      <c r="C858" s="39" t="s">
        <v>2609</v>
      </c>
      <c r="D858" s="39" t="s">
        <v>37</v>
      </c>
      <c r="E858" s="40" t="b">
        <f aca="false">TRUE()</f>
        <v>1</v>
      </c>
      <c r="F858" s="38" t="s">
        <v>40</v>
      </c>
      <c r="G858" s="38" t="n">
        <v>857</v>
      </c>
      <c r="H858" s="39" t="s">
        <v>2610</v>
      </c>
      <c r="I858" s="39" t="s">
        <v>36</v>
      </c>
      <c r="J858" s="39" t="s">
        <v>37</v>
      </c>
      <c r="K858" s="41" t="n">
        <f aca="false">IF(E858=TRUE(),1,0)</f>
        <v>1</v>
      </c>
      <c r="L858" s="42" t="n">
        <v>46218.6984490741</v>
      </c>
    </row>
    <row r="859" customFormat="false" ht="15" hidden="false" customHeight="true" outlineLevel="0" collapsed="false">
      <c r="A859" s="43" t="n">
        <v>858</v>
      </c>
      <c r="B859" s="44" t="s">
        <v>2611</v>
      </c>
      <c r="C859" s="44" t="s">
        <v>2612</v>
      </c>
      <c r="D859" s="44" t="s">
        <v>33</v>
      </c>
      <c r="E859" s="45" t="b">
        <f aca="false">TRUE()</f>
        <v>1</v>
      </c>
      <c r="F859" s="43" t="s">
        <v>40</v>
      </c>
      <c r="G859" s="43" t="n">
        <v>858</v>
      </c>
      <c r="H859" s="44" t="s">
        <v>2613</v>
      </c>
      <c r="I859" s="44" t="s">
        <v>57</v>
      </c>
      <c r="J859" s="44" t="s">
        <v>37</v>
      </c>
      <c r="K859" s="46" t="n">
        <f aca="false">IF(E859=TRUE(),1,0)</f>
        <v>1</v>
      </c>
      <c r="L859" s="47" t="n">
        <v>46218.6989583333</v>
      </c>
    </row>
    <row r="860" customFormat="false" ht="15" hidden="false" customHeight="true" outlineLevel="0" collapsed="false">
      <c r="A860" s="38" t="n">
        <v>859</v>
      </c>
      <c r="B860" s="39" t="s">
        <v>2614</v>
      </c>
      <c r="C860" s="39" t="s">
        <v>2615</v>
      </c>
      <c r="D860" s="39" t="s">
        <v>47</v>
      </c>
      <c r="E860" s="40" t="b">
        <f aca="false">TRUE()</f>
        <v>1</v>
      </c>
      <c r="F860" s="38" t="s">
        <v>40</v>
      </c>
      <c r="G860" s="38" t="n">
        <v>859</v>
      </c>
      <c r="H860" s="39" t="s">
        <v>2616</v>
      </c>
      <c r="I860" s="39" t="s">
        <v>46</v>
      </c>
      <c r="J860" s="39" t="s">
        <v>47</v>
      </c>
      <c r="K860" s="41" t="n">
        <f aca="false">IF(E860=TRUE(),1,0)</f>
        <v>1</v>
      </c>
      <c r="L860" s="42" t="n">
        <v>46218.6994675926</v>
      </c>
    </row>
    <row r="861" customFormat="false" ht="15" hidden="false" customHeight="true" outlineLevel="0" collapsed="false">
      <c r="A861" s="43" t="n">
        <v>860</v>
      </c>
      <c r="B861" s="44" t="s">
        <v>2617</v>
      </c>
      <c r="C861" s="44" t="s">
        <v>2618</v>
      </c>
      <c r="D861" s="44" t="s">
        <v>47</v>
      </c>
      <c r="E861" s="45" t="b">
        <f aca="false">TRUE()</f>
        <v>1</v>
      </c>
      <c r="F861" s="43" t="s">
        <v>34</v>
      </c>
      <c r="G861" s="43" t="n">
        <v>860</v>
      </c>
      <c r="H861" s="44" t="s">
        <v>2619</v>
      </c>
      <c r="I861" s="44" t="s">
        <v>46</v>
      </c>
      <c r="J861" s="44" t="s">
        <v>47</v>
      </c>
      <c r="K861" s="46" t="n">
        <f aca="false">IF(E861=TRUE(),1,0)</f>
        <v>1</v>
      </c>
      <c r="L861" s="47" t="n">
        <v>46218.7000810185</v>
      </c>
    </row>
    <row r="862" customFormat="false" ht="15" hidden="false" customHeight="true" outlineLevel="0" collapsed="false">
      <c r="A862" s="38" t="n">
        <v>861</v>
      </c>
      <c r="B862" s="39" t="s">
        <v>2620</v>
      </c>
      <c r="C862" s="39" t="s">
        <v>2621</v>
      </c>
      <c r="D862" s="39" t="s">
        <v>33</v>
      </c>
      <c r="E862" s="40" t="b">
        <f aca="false">FALSE()</f>
        <v>0</v>
      </c>
      <c r="F862" s="38" t="s">
        <v>40</v>
      </c>
      <c r="G862" s="38" t="n">
        <v>861</v>
      </c>
      <c r="H862" s="39" t="s">
        <v>2622</v>
      </c>
      <c r="I862" s="39" t="s">
        <v>57</v>
      </c>
      <c r="J862" s="39" t="s">
        <v>37</v>
      </c>
      <c r="K862" s="41" t="n">
        <f aca="false">IF(E862=TRUE(),1,0)</f>
        <v>0</v>
      </c>
      <c r="L862" s="39"/>
    </row>
    <row r="863" customFormat="false" ht="15" hidden="false" customHeight="true" outlineLevel="0" collapsed="false">
      <c r="A863" s="43" t="n">
        <v>862</v>
      </c>
      <c r="B863" s="44" t="s">
        <v>2623</v>
      </c>
      <c r="C863" s="44" t="s">
        <v>2624</v>
      </c>
      <c r="D863" s="44" t="s">
        <v>37</v>
      </c>
      <c r="E863" s="45" t="b">
        <f aca="false">FALSE()</f>
        <v>0</v>
      </c>
      <c r="F863" s="43" t="s">
        <v>44</v>
      </c>
      <c r="G863" s="43" t="n">
        <v>862</v>
      </c>
      <c r="H863" s="44" t="s">
        <v>2625</v>
      </c>
      <c r="I863" s="44" t="s">
        <v>57</v>
      </c>
      <c r="J863" s="44" t="s">
        <v>33</v>
      </c>
      <c r="K863" s="46" t="n">
        <f aca="false">IF(E863=TRUE(),1,0)</f>
        <v>0</v>
      </c>
      <c r="L863" s="44"/>
    </row>
    <row r="864" customFormat="false" ht="15" hidden="false" customHeight="true" outlineLevel="0" collapsed="false">
      <c r="A864" s="38" t="n">
        <v>863</v>
      </c>
      <c r="B864" s="39" t="s">
        <v>2626</v>
      </c>
      <c r="C864" s="39" t="s">
        <v>2627</v>
      </c>
      <c r="D864" s="39" t="s">
        <v>37</v>
      </c>
      <c r="E864" s="40" t="b">
        <f aca="false">TRUE()</f>
        <v>1</v>
      </c>
      <c r="F864" s="38" t="s">
        <v>34</v>
      </c>
      <c r="G864" s="38" t="n">
        <v>863</v>
      </c>
      <c r="H864" s="39" t="s">
        <v>2628</v>
      </c>
      <c r="I864" s="39" t="s">
        <v>36</v>
      </c>
      <c r="J864" s="39" t="s">
        <v>47</v>
      </c>
      <c r="K864" s="41" t="n">
        <f aca="false">IF(E864=TRUE(),1,0)</f>
        <v>1</v>
      </c>
      <c r="L864" s="42" t="n">
        <v>46218.7004861111</v>
      </c>
    </row>
    <row r="865" customFormat="false" ht="15" hidden="false" customHeight="true" outlineLevel="0" collapsed="false">
      <c r="A865" s="43" t="n">
        <v>864</v>
      </c>
      <c r="B865" s="44" t="s">
        <v>2629</v>
      </c>
      <c r="C865" s="44" t="s">
        <v>2630</v>
      </c>
      <c r="D865" s="44" t="s">
        <v>33</v>
      </c>
      <c r="E865" s="45" t="b">
        <f aca="false">FALSE()</f>
        <v>0</v>
      </c>
      <c r="F865" s="43" t="s">
        <v>40</v>
      </c>
      <c r="G865" s="43" t="n">
        <v>864</v>
      </c>
      <c r="H865" s="44" t="s">
        <v>2631</v>
      </c>
      <c r="I865" s="44" t="s">
        <v>57</v>
      </c>
      <c r="J865" s="44" t="s">
        <v>37</v>
      </c>
      <c r="K865" s="46" t="n">
        <f aca="false">IF(E865=TRUE(),1,0)</f>
        <v>0</v>
      </c>
      <c r="L865" s="44"/>
    </row>
    <row r="866" customFormat="false" ht="15" hidden="false" customHeight="true" outlineLevel="0" collapsed="false">
      <c r="A866" s="38" t="n">
        <v>865</v>
      </c>
      <c r="B866" s="39" t="s">
        <v>2632</v>
      </c>
      <c r="C866" s="39" t="s">
        <v>2633</v>
      </c>
      <c r="D866" s="39" t="s">
        <v>33</v>
      </c>
      <c r="E866" s="40" t="b">
        <f aca="false">FALSE()</f>
        <v>0</v>
      </c>
      <c r="F866" s="38" t="s">
        <v>40</v>
      </c>
      <c r="G866" s="38" t="n">
        <v>865</v>
      </c>
      <c r="H866" s="39" t="s">
        <v>2634</v>
      </c>
      <c r="I866" s="39" t="s">
        <v>57</v>
      </c>
      <c r="J866" s="39" t="s">
        <v>47</v>
      </c>
      <c r="K866" s="41" t="n">
        <f aca="false">IF(E866=TRUE(),1,0)</f>
        <v>0</v>
      </c>
      <c r="L866" s="39"/>
    </row>
    <row r="867" customFormat="false" ht="15" hidden="false" customHeight="true" outlineLevel="0" collapsed="false">
      <c r="A867" s="43" t="n">
        <v>866</v>
      </c>
      <c r="B867" s="44" t="s">
        <v>2635</v>
      </c>
      <c r="C867" s="44" t="s">
        <v>2636</v>
      </c>
      <c r="D867" s="44" t="s">
        <v>47</v>
      </c>
      <c r="E867" s="45" t="b">
        <f aca="false">TRUE()</f>
        <v>1</v>
      </c>
      <c r="F867" s="43" t="s">
        <v>44</v>
      </c>
      <c r="G867" s="43" t="n">
        <v>866</v>
      </c>
      <c r="H867" s="44" t="s">
        <v>2637</v>
      </c>
      <c r="I867" s="44" t="s">
        <v>57</v>
      </c>
      <c r="J867" s="44" t="s">
        <v>47</v>
      </c>
      <c r="K867" s="46" t="n">
        <f aca="false">IF(E867=TRUE(),1,0)</f>
        <v>1</v>
      </c>
      <c r="L867" s="47" t="n">
        <v>46218.7006828704</v>
      </c>
    </row>
    <row r="868" customFormat="false" ht="15" hidden="false" customHeight="true" outlineLevel="0" collapsed="false">
      <c r="A868" s="38" t="n">
        <v>867</v>
      </c>
      <c r="B868" s="39" t="s">
        <v>2638</v>
      </c>
      <c r="C868" s="39" t="s">
        <v>2639</v>
      </c>
      <c r="D868" s="39" t="s">
        <v>47</v>
      </c>
      <c r="E868" s="40" t="b">
        <f aca="false">TRUE()</f>
        <v>1</v>
      </c>
      <c r="F868" s="38" t="s">
        <v>40</v>
      </c>
      <c r="G868" s="38" t="n">
        <v>867</v>
      </c>
      <c r="H868" s="39" t="s">
        <v>2640</v>
      </c>
      <c r="I868" s="39" t="s">
        <v>57</v>
      </c>
      <c r="J868" s="39" t="s">
        <v>37</v>
      </c>
      <c r="K868" s="41" t="n">
        <f aca="false">IF(E868=TRUE(),1,0)</f>
        <v>1</v>
      </c>
      <c r="L868" s="42" t="n">
        <v>46218.7007291667</v>
      </c>
    </row>
    <row r="869" customFormat="false" ht="15" hidden="false" customHeight="true" outlineLevel="0" collapsed="false">
      <c r="A869" s="43" t="n">
        <v>868</v>
      </c>
      <c r="B869" s="44" t="s">
        <v>2641</v>
      </c>
      <c r="C869" s="44" t="s">
        <v>2642</v>
      </c>
      <c r="D869" s="44" t="s">
        <v>37</v>
      </c>
      <c r="E869" s="45" t="b">
        <f aca="false">TRUE()</f>
        <v>1</v>
      </c>
      <c r="F869" s="43" t="s">
        <v>44</v>
      </c>
      <c r="G869" s="43" t="n">
        <v>868</v>
      </c>
      <c r="H869" s="44" t="s">
        <v>2643</v>
      </c>
      <c r="I869" s="44" t="s">
        <v>36</v>
      </c>
      <c r="J869" s="44" t="s">
        <v>33</v>
      </c>
      <c r="K869" s="46" t="n">
        <f aca="false">IF(E869=TRUE(),1,0)</f>
        <v>1</v>
      </c>
      <c r="L869" s="47" t="n">
        <v>46218.700787037</v>
      </c>
    </row>
    <row r="870" customFormat="false" ht="15" hidden="false" customHeight="true" outlineLevel="0" collapsed="false">
      <c r="A870" s="38" t="n">
        <v>869</v>
      </c>
      <c r="B870" s="39" t="s">
        <v>2644</v>
      </c>
      <c r="C870" s="39" t="s">
        <v>2645</v>
      </c>
      <c r="D870" s="39" t="s">
        <v>37</v>
      </c>
      <c r="E870" s="40" t="b">
        <f aca="false">TRUE()</f>
        <v>1</v>
      </c>
      <c r="F870" s="38" t="s">
        <v>34</v>
      </c>
      <c r="G870" s="38" t="n">
        <v>869</v>
      </c>
      <c r="H870" s="39" t="s">
        <v>2646</v>
      </c>
      <c r="I870" s="39" t="s">
        <v>36</v>
      </c>
      <c r="J870" s="39" t="s">
        <v>37</v>
      </c>
      <c r="K870" s="41" t="n">
        <f aca="false">IF(E870=TRUE(),1,0)</f>
        <v>1</v>
      </c>
      <c r="L870" s="42" t="n">
        <v>46218.7017013889</v>
      </c>
    </row>
    <row r="871" customFormat="false" ht="15" hidden="false" customHeight="true" outlineLevel="0" collapsed="false">
      <c r="A871" s="43" t="n">
        <v>870</v>
      </c>
      <c r="B871" s="44" t="s">
        <v>2647</v>
      </c>
      <c r="C871" s="44" t="s">
        <v>2648</v>
      </c>
      <c r="D871" s="44" t="s">
        <v>33</v>
      </c>
      <c r="E871" s="45" t="b">
        <f aca="false">TRUE()</f>
        <v>1</v>
      </c>
      <c r="F871" s="43" t="s">
        <v>44</v>
      </c>
      <c r="G871" s="43" t="n">
        <v>870</v>
      </c>
      <c r="H871" s="44" t="s">
        <v>2649</v>
      </c>
      <c r="I871" s="44" t="s">
        <v>57</v>
      </c>
      <c r="J871" s="44" t="s">
        <v>47</v>
      </c>
      <c r="K871" s="46" t="n">
        <f aca="false">IF(E871=TRUE(),1,0)</f>
        <v>1</v>
      </c>
      <c r="L871" s="47" t="n">
        <v>46218.7029282407</v>
      </c>
    </row>
    <row r="872" customFormat="false" ht="15" hidden="false" customHeight="true" outlineLevel="0" collapsed="false">
      <c r="A872" s="38" t="n">
        <v>871</v>
      </c>
      <c r="B872" s="39" t="s">
        <v>2650</v>
      </c>
      <c r="C872" s="39" t="s">
        <v>2651</v>
      </c>
      <c r="D872" s="39" t="s">
        <v>33</v>
      </c>
      <c r="E872" s="40" t="b">
        <f aca="false">FALSE()</f>
        <v>0</v>
      </c>
      <c r="F872" s="38" t="s">
        <v>40</v>
      </c>
      <c r="G872" s="38" t="n">
        <v>871</v>
      </c>
      <c r="H872" s="39" t="s">
        <v>2652</v>
      </c>
      <c r="I872" s="39" t="s">
        <v>46</v>
      </c>
      <c r="J872" s="39" t="s">
        <v>37</v>
      </c>
      <c r="K872" s="41" t="n">
        <f aca="false">IF(E872=TRUE(),1,0)</f>
        <v>0</v>
      </c>
      <c r="L872" s="39"/>
    </row>
    <row r="873" customFormat="false" ht="15" hidden="false" customHeight="true" outlineLevel="0" collapsed="false">
      <c r="A873" s="43" t="n">
        <v>872</v>
      </c>
      <c r="B873" s="44" t="s">
        <v>2653</v>
      </c>
      <c r="C873" s="44" t="s">
        <v>2654</v>
      </c>
      <c r="D873" s="44" t="s">
        <v>37</v>
      </c>
      <c r="E873" s="45" t="b">
        <f aca="false">TRUE()</f>
        <v>1</v>
      </c>
      <c r="F873" s="43" t="s">
        <v>40</v>
      </c>
      <c r="G873" s="43" t="n">
        <v>872</v>
      </c>
      <c r="H873" s="44" t="s">
        <v>2655</v>
      </c>
      <c r="I873" s="44" t="s">
        <v>57</v>
      </c>
      <c r="J873" s="44" t="s">
        <v>37</v>
      </c>
      <c r="K873" s="46" t="n">
        <f aca="false">IF(E873=TRUE(),1,0)</f>
        <v>1</v>
      </c>
      <c r="L873" s="47" t="n">
        <v>46218.7037037037</v>
      </c>
    </row>
    <row r="874" customFormat="false" ht="15" hidden="false" customHeight="true" outlineLevel="0" collapsed="false">
      <c r="A874" s="38" t="n">
        <v>873</v>
      </c>
      <c r="B874" s="39" t="s">
        <v>2656</v>
      </c>
      <c r="C874" s="39" t="s">
        <v>2657</v>
      </c>
      <c r="D874" s="39" t="s">
        <v>47</v>
      </c>
      <c r="E874" s="40" t="b">
        <f aca="false">FALSE()</f>
        <v>0</v>
      </c>
      <c r="F874" s="38" t="s">
        <v>40</v>
      </c>
      <c r="G874" s="38" t="n">
        <v>873</v>
      </c>
      <c r="H874" s="39" t="s">
        <v>2658</v>
      </c>
      <c r="I874" s="39" t="s">
        <v>36</v>
      </c>
      <c r="J874" s="39" t="s">
        <v>37</v>
      </c>
      <c r="K874" s="41" t="n">
        <f aca="false">IF(E874=TRUE(),1,0)</f>
        <v>0</v>
      </c>
      <c r="L874" s="39"/>
    </row>
    <row r="875" customFormat="false" ht="15" hidden="false" customHeight="true" outlineLevel="0" collapsed="false">
      <c r="A875" s="43" t="n">
        <v>874</v>
      </c>
      <c r="B875" s="44" t="s">
        <v>2659</v>
      </c>
      <c r="C875" s="44" t="s">
        <v>2660</v>
      </c>
      <c r="D875" s="44" t="s">
        <v>33</v>
      </c>
      <c r="E875" s="45" t="b">
        <f aca="false">FALSE()</f>
        <v>0</v>
      </c>
      <c r="F875" s="43" t="s">
        <v>40</v>
      </c>
      <c r="G875" s="43" t="n">
        <v>874</v>
      </c>
      <c r="H875" s="44" t="s">
        <v>2661</v>
      </c>
      <c r="I875" s="44" t="s">
        <v>46</v>
      </c>
      <c r="J875" s="44" t="s">
        <v>47</v>
      </c>
      <c r="K875" s="46" t="n">
        <f aca="false">IF(E875=TRUE(),1,0)</f>
        <v>0</v>
      </c>
      <c r="L875" s="44"/>
    </row>
    <row r="876" customFormat="false" ht="15" hidden="false" customHeight="true" outlineLevel="0" collapsed="false">
      <c r="A876" s="38" t="n">
        <v>875</v>
      </c>
      <c r="B876" s="39" t="s">
        <v>2662</v>
      </c>
      <c r="C876" s="39" t="s">
        <v>2663</v>
      </c>
      <c r="D876" s="39" t="s">
        <v>33</v>
      </c>
      <c r="E876" s="40" t="b">
        <f aca="false">FALSE()</f>
        <v>0</v>
      </c>
      <c r="F876" s="38" t="s">
        <v>40</v>
      </c>
      <c r="G876" s="38" t="n">
        <v>875</v>
      </c>
      <c r="H876" s="39" t="s">
        <v>2664</v>
      </c>
      <c r="I876" s="39" t="s">
        <v>46</v>
      </c>
      <c r="J876" s="39" t="s">
        <v>47</v>
      </c>
      <c r="K876" s="41" t="n">
        <f aca="false">IF(E876=TRUE(),1,0)</f>
        <v>0</v>
      </c>
      <c r="L876" s="39"/>
    </row>
    <row r="877" customFormat="false" ht="15" hidden="false" customHeight="true" outlineLevel="0" collapsed="false">
      <c r="A877" s="43" t="n">
        <v>876</v>
      </c>
      <c r="B877" s="44" t="s">
        <v>2665</v>
      </c>
      <c r="C877" s="44" t="s">
        <v>2666</v>
      </c>
      <c r="D877" s="44" t="s">
        <v>37</v>
      </c>
      <c r="E877" s="45" t="b">
        <f aca="false">TRUE()</f>
        <v>1</v>
      </c>
      <c r="F877" s="43" t="s">
        <v>34</v>
      </c>
      <c r="G877" s="43" t="n">
        <v>876</v>
      </c>
      <c r="H877" s="44" t="s">
        <v>2667</v>
      </c>
      <c r="I877" s="44" t="s">
        <v>46</v>
      </c>
      <c r="J877" s="44" t="s">
        <v>33</v>
      </c>
      <c r="K877" s="46" t="n">
        <f aca="false">IF(E877=TRUE(),1,0)</f>
        <v>1</v>
      </c>
      <c r="L877" s="47" t="n">
        <v>46218.7050115741</v>
      </c>
    </row>
    <row r="878" customFormat="false" ht="15" hidden="false" customHeight="true" outlineLevel="0" collapsed="false">
      <c r="A878" s="38" t="n">
        <v>877</v>
      </c>
      <c r="B878" s="39" t="s">
        <v>2668</v>
      </c>
      <c r="C878" s="39" t="s">
        <v>2669</v>
      </c>
      <c r="D878" s="39" t="s">
        <v>47</v>
      </c>
      <c r="E878" s="40" t="b">
        <f aca="false">FALSE()</f>
        <v>0</v>
      </c>
      <c r="F878" s="38" t="s">
        <v>44</v>
      </c>
      <c r="G878" s="38" t="n">
        <v>877</v>
      </c>
      <c r="H878" s="39" t="s">
        <v>2670</v>
      </c>
      <c r="I878" s="39" t="s">
        <v>57</v>
      </c>
      <c r="J878" s="39" t="s">
        <v>33</v>
      </c>
      <c r="K878" s="41" t="n">
        <f aca="false">IF(E878=TRUE(),1,0)</f>
        <v>0</v>
      </c>
      <c r="L878" s="39"/>
    </row>
    <row r="879" customFormat="false" ht="15" hidden="false" customHeight="true" outlineLevel="0" collapsed="false">
      <c r="A879" s="43" t="n">
        <v>878</v>
      </c>
      <c r="B879" s="44" t="s">
        <v>2671</v>
      </c>
      <c r="C879" s="44" t="s">
        <v>2672</v>
      </c>
      <c r="D879" s="44" t="s">
        <v>33</v>
      </c>
      <c r="E879" s="45" t="b">
        <f aca="false">TRUE()</f>
        <v>1</v>
      </c>
      <c r="F879" s="43" t="s">
        <v>34</v>
      </c>
      <c r="G879" s="43" t="n">
        <v>878</v>
      </c>
      <c r="H879" s="44" t="s">
        <v>2673</v>
      </c>
      <c r="I879" s="44" t="s">
        <v>57</v>
      </c>
      <c r="J879" s="44" t="s">
        <v>33</v>
      </c>
      <c r="K879" s="46" t="n">
        <f aca="false">IF(E879=TRUE(),1,0)</f>
        <v>1</v>
      </c>
      <c r="L879" s="47" t="n">
        <v>46218.7053356482</v>
      </c>
    </row>
    <row r="880" customFormat="false" ht="15" hidden="false" customHeight="true" outlineLevel="0" collapsed="false">
      <c r="A880" s="38" t="n">
        <v>879</v>
      </c>
      <c r="B880" s="39" t="s">
        <v>2674</v>
      </c>
      <c r="C880" s="39" t="s">
        <v>2675</v>
      </c>
      <c r="D880" s="39" t="s">
        <v>33</v>
      </c>
      <c r="E880" s="40" t="b">
        <f aca="false">TRUE()</f>
        <v>1</v>
      </c>
      <c r="F880" s="38" t="s">
        <v>40</v>
      </c>
      <c r="G880" s="38" t="n">
        <v>879</v>
      </c>
      <c r="H880" s="39" t="s">
        <v>2676</v>
      </c>
      <c r="I880" s="39" t="s">
        <v>57</v>
      </c>
      <c r="J880" s="39" t="s">
        <v>47</v>
      </c>
      <c r="K880" s="41" t="n">
        <f aca="false">IF(E880=TRUE(),1,0)</f>
        <v>1</v>
      </c>
      <c r="L880" s="42" t="n">
        <v>46218.7054976852</v>
      </c>
    </row>
    <row r="881" customFormat="false" ht="15" hidden="false" customHeight="true" outlineLevel="0" collapsed="false">
      <c r="A881" s="43" t="n">
        <v>880</v>
      </c>
      <c r="B881" s="44" t="s">
        <v>2677</v>
      </c>
      <c r="C881" s="44" t="s">
        <v>2678</v>
      </c>
      <c r="D881" s="44" t="s">
        <v>37</v>
      </c>
      <c r="E881" s="45" t="b">
        <f aca="false">FALSE()</f>
        <v>0</v>
      </c>
      <c r="F881" s="43" t="s">
        <v>34</v>
      </c>
      <c r="G881" s="43" t="n">
        <v>880</v>
      </c>
      <c r="H881" s="44" t="s">
        <v>2679</v>
      </c>
      <c r="I881" s="44" t="s">
        <v>57</v>
      </c>
      <c r="J881" s="44" t="s">
        <v>33</v>
      </c>
      <c r="K881" s="46" t="n">
        <f aca="false">IF(E881=TRUE(),1,0)</f>
        <v>0</v>
      </c>
      <c r="L881" s="44"/>
    </row>
    <row r="882" customFormat="false" ht="15" hidden="false" customHeight="true" outlineLevel="0" collapsed="false">
      <c r="A882" s="38" t="n">
        <v>881</v>
      </c>
      <c r="B882" s="39" t="s">
        <v>2680</v>
      </c>
      <c r="C882" s="39" t="s">
        <v>2681</v>
      </c>
      <c r="D882" s="39" t="s">
        <v>47</v>
      </c>
      <c r="E882" s="40" t="b">
        <f aca="false">FALSE()</f>
        <v>0</v>
      </c>
      <c r="F882" s="38" t="s">
        <v>44</v>
      </c>
      <c r="G882" s="38" t="n">
        <v>881</v>
      </c>
      <c r="H882" s="39" t="s">
        <v>2682</v>
      </c>
      <c r="I882" s="39" t="s">
        <v>46</v>
      </c>
      <c r="J882" s="39" t="s">
        <v>47</v>
      </c>
      <c r="K882" s="41" t="n">
        <f aca="false">IF(E882=TRUE(),1,0)</f>
        <v>0</v>
      </c>
      <c r="L882" s="39"/>
    </row>
    <row r="883" customFormat="false" ht="15" hidden="false" customHeight="true" outlineLevel="0" collapsed="false">
      <c r="A883" s="43" t="n">
        <v>882</v>
      </c>
      <c r="B883" s="44" t="s">
        <v>2683</v>
      </c>
      <c r="C883" s="44" t="s">
        <v>2684</v>
      </c>
      <c r="D883" s="44" t="s">
        <v>47</v>
      </c>
      <c r="E883" s="45" t="b">
        <f aca="false">TRUE()</f>
        <v>1</v>
      </c>
      <c r="F883" s="43" t="s">
        <v>40</v>
      </c>
      <c r="G883" s="43" t="n">
        <v>882</v>
      </c>
      <c r="H883" s="44" t="s">
        <v>2685</v>
      </c>
      <c r="I883" s="44" t="s">
        <v>57</v>
      </c>
      <c r="J883" s="44" t="s">
        <v>47</v>
      </c>
      <c r="K883" s="46" t="n">
        <f aca="false">IF(E883=TRUE(),1,0)</f>
        <v>1</v>
      </c>
      <c r="L883" s="47" t="n">
        <v>46218.7072800926</v>
      </c>
    </row>
    <row r="884" customFormat="false" ht="15" hidden="false" customHeight="true" outlineLevel="0" collapsed="false">
      <c r="A884" s="38" t="n">
        <v>883</v>
      </c>
      <c r="B884" s="39" t="s">
        <v>2686</v>
      </c>
      <c r="C884" s="39" t="s">
        <v>2687</v>
      </c>
      <c r="D884" s="39" t="s">
        <v>37</v>
      </c>
      <c r="E884" s="40" t="b">
        <f aca="false">FALSE()</f>
        <v>0</v>
      </c>
      <c r="F884" s="38" t="s">
        <v>34</v>
      </c>
      <c r="G884" s="38" t="n">
        <v>883</v>
      </c>
      <c r="H884" s="39" t="s">
        <v>2688</v>
      </c>
      <c r="I884" s="39" t="s">
        <v>36</v>
      </c>
      <c r="J884" s="39" t="s">
        <v>37</v>
      </c>
      <c r="K884" s="41" t="n">
        <f aca="false">IF(E884=TRUE(),1,0)</f>
        <v>0</v>
      </c>
      <c r="L884" s="39"/>
    </row>
    <row r="885" customFormat="false" ht="15" hidden="false" customHeight="true" outlineLevel="0" collapsed="false">
      <c r="A885" s="43" t="n">
        <v>884</v>
      </c>
      <c r="B885" s="44" t="s">
        <v>2689</v>
      </c>
      <c r="C885" s="44" t="s">
        <v>2690</v>
      </c>
      <c r="D885" s="44" t="s">
        <v>33</v>
      </c>
      <c r="E885" s="45" t="b">
        <f aca="false">TRUE()</f>
        <v>1</v>
      </c>
      <c r="F885" s="43" t="s">
        <v>40</v>
      </c>
      <c r="G885" s="43" t="n">
        <v>884</v>
      </c>
      <c r="H885" s="44" t="s">
        <v>2691</v>
      </c>
      <c r="I885" s="44" t="s">
        <v>46</v>
      </c>
      <c r="J885" s="44" t="s">
        <v>47</v>
      </c>
      <c r="K885" s="46" t="n">
        <f aca="false">IF(E885=TRUE(),1,0)</f>
        <v>1</v>
      </c>
      <c r="L885" s="47" t="n">
        <v>46218.7086921296</v>
      </c>
    </row>
    <row r="886" customFormat="false" ht="15" hidden="false" customHeight="true" outlineLevel="0" collapsed="false">
      <c r="A886" s="38" t="n">
        <v>885</v>
      </c>
      <c r="B886" s="39" t="s">
        <v>2692</v>
      </c>
      <c r="C886" s="39" t="s">
        <v>2693</v>
      </c>
      <c r="D886" s="39" t="s">
        <v>33</v>
      </c>
      <c r="E886" s="40" t="b">
        <f aca="false">FALSE()</f>
        <v>0</v>
      </c>
      <c r="F886" s="38" t="s">
        <v>34</v>
      </c>
      <c r="G886" s="38" t="n">
        <v>885</v>
      </c>
      <c r="H886" s="39" t="s">
        <v>2694</v>
      </c>
      <c r="I886" s="39" t="s">
        <v>57</v>
      </c>
      <c r="J886" s="39" t="s">
        <v>37</v>
      </c>
      <c r="K886" s="41" t="n">
        <f aca="false">IF(E886=TRUE(),1,0)</f>
        <v>0</v>
      </c>
      <c r="L886" s="39"/>
    </row>
    <row r="887" customFormat="false" ht="15" hidden="false" customHeight="true" outlineLevel="0" collapsed="false">
      <c r="A887" s="43" t="n">
        <v>886</v>
      </c>
      <c r="B887" s="44" t="s">
        <v>2695</v>
      </c>
      <c r="C887" s="44" t="s">
        <v>2696</v>
      </c>
      <c r="D887" s="44" t="s">
        <v>33</v>
      </c>
      <c r="E887" s="45" t="b">
        <f aca="false">FALSE()</f>
        <v>0</v>
      </c>
      <c r="F887" s="43" t="s">
        <v>34</v>
      </c>
      <c r="G887" s="43" t="n">
        <v>886</v>
      </c>
      <c r="H887" s="44" t="s">
        <v>2697</v>
      </c>
      <c r="I887" s="44" t="s">
        <v>36</v>
      </c>
      <c r="J887" s="44" t="s">
        <v>37</v>
      </c>
      <c r="K887" s="46" t="n">
        <f aca="false">IF(E887=TRUE(),1,0)</f>
        <v>0</v>
      </c>
      <c r="L887" s="44"/>
    </row>
    <row r="888" customFormat="false" ht="15" hidden="false" customHeight="true" outlineLevel="0" collapsed="false">
      <c r="A888" s="38" t="n">
        <v>887</v>
      </c>
      <c r="B888" s="39" t="s">
        <v>2698</v>
      </c>
      <c r="C888" s="39" t="s">
        <v>2699</v>
      </c>
      <c r="D888" s="39" t="s">
        <v>47</v>
      </c>
      <c r="E888" s="40" t="b">
        <f aca="false">FALSE()</f>
        <v>0</v>
      </c>
      <c r="F888" s="38" t="s">
        <v>40</v>
      </c>
      <c r="G888" s="38" t="n">
        <v>887</v>
      </c>
      <c r="H888" s="39" t="s">
        <v>2700</v>
      </c>
      <c r="I888" s="39" t="s">
        <v>36</v>
      </c>
      <c r="J888" s="39" t="s">
        <v>47</v>
      </c>
      <c r="K888" s="41" t="n">
        <f aca="false">IF(E888=TRUE(),1,0)</f>
        <v>0</v>
      </c>
      <c r="L888" s="39"/>
    </row>
    <row r="889" customFormat="false" ht="15" hidden="false" customHeight="true" outlineLevel="0" collapsed="false">
      <c r="A889" s="43" t="n">
        <v>888</v>
      </c>
      <c r="B889" s="44" t="s">
        <v>2701</v>
      </c>
      <c r="C889" s="44" t="s">
        <v>2702</v>
      </c>
      <c r="D889" s="44" t="s">
        <v>37</v>
      </c>
      <c r="E889" s="45" t="b">
        <f aca="false">FALSE()</f>
        <v>0</v>
      </c>
      <c r="F889" s="43" t="s">
        <v>44</v>
      </c>
      <c r="G889" s="43" t="n">
        <v>888</v>
      </c>
      <c r="H889" s="44" t="s">
        <v>2703</v>
      </c>
      <c r="I889" s="44" t="s">
        <v>36</v>
      </c>
      <c r="J889" s="44" t="s">
        <v>47</v>
      </c>
      <c r="K889" s="46" t="n">
        <f aca="false">IF(E889=TRUE(),1,0)</f>
        <v>0</v>
      </c>
      <c r="L889" s="44"/>
    </row>
    <row r="890" customFormat="false" ht="15" hidden="false" customHeight="true" outlineLevel="0" collapsed="false">
      <c r="A890" s="38" t="n">
        <v>889</v>
      </c>
      <c r="B890" s="39" t="s">
        <v>2704</v>
      </c>
      <c r="C890" s="39" t="s">
        <v>2705</v>
      </c>
      <c r="D890" s="39" t="s">
        <v>33</v>
      </c>
      <c r="E890" s="40" t="b">
        <f aca="false">FALSE()</f>
        <v>0</v>
      </c>
      <c r="F890" s="38" t="s">
        <v>40</v>
      </c>
      <c r="G890" s="38" t="n">
        <v>889</v>
      </c>
      <c r="H890" s="39" t="s">
        <v>2706</v>
      </c>
      <c r="I890" s="39" t="s">
        <v>46</v>
      </c>
      <c r="J890" s="39" t="s">
        <v>37</v>
      </c>
      <c r="K890" s="41" t="n">
        <f aca="false">IF(E890=TRUE(),1,0)</f>
        <v>0</v>
      </c>
      <c r="L890" s="39"/>
    </row>
    <row r="891" customFormat="false" ht="15" hidden="false" customHeight="true" outlineLevel="0" collapsed="false">
      <c r="A891" s="43" t="n">
        <v>890</v>
      </c>
      <c r="B891" s="44" t="s">
        <v>2707</v>
      </c>
      <c r="C891" s="44" t="s">
        <v>2708</v>
      </c>
      <c r="D891" s="44" t="s">
        <v>37</v>
      </c>
      <c r="E891" s="45" t="b">
        <f aca="false">TRUE()</f>
        <v>1</v>
      </c>
      <c r="F891" s="43" t="s">
        <v>44</v>
      </c>
      <c r="G891" s="43" t="n">
        <v>890</v>
      </c>
      <c r="H891" s="44" t="s">
        <v>2709</v>
      </c>
      <c r="I891" s="44" t="s">
        <v>46</v>
      </c>
      <c r="J891" s="44" t="s">
        <v>47</v>
      </c>
      <c r="K891" s="46" t="n">
        <f aca="false">IF(E891=TRUE(),1,0)</f>
        <v>1</v>
      </c>
      <c r="L891" s="47" t="n">
        <v>46218.7090972222</v>
      </c>
    </row>
    <row r="892" customFormat="false" ht="15" hidden="false" customHeight="true" outlineLevel="0" collapsed="false">
      <c r="A892" s="38" t="n">
        <v>891</v>
      </c>
      <c r="B892" s="39" t="s">
        <v>2710</v>
      </c>
      <c r="C892" s="39" t="s">
        <v>2711</v>
      </c>
      <c r="D892" s="39" t="s">
        <v>47</v>
      </c>
      <c r="E892" s="40" t="b">
        <f aca="false">FALSE()</f>
        <v>0</v>
      </c>
      <c r="F892" s="38" t="s">
        <v>40</v>
      </c>
      <c r="G892" s="38" t="n">
        <v>891</v>
      </c>
      <c r="H892" s="39" t="s">
        <v>2712</v>
      </c>
      <c r="I892" s="39" t="s">
        <v>36</v>
      </c>
      <c r="J892" s="39" t="s">
        <v>37</v>
      </c>
      <c r="K892" s="41" t="n">
        <f aca="false">IF(E892=TRUE(),1,0)</f>
        <v>0</v>
      </c>
      <c r="L892" s="39"/>
    </row>
    <row r="893" customFormat="false" ht="15" hidden="false" customHeight="true" outlineLevel="0" collapsed="false">
      <c r="A893" s="43" t="n">
        <v>892</v>
      </c>
      <c r="B893" s="44" t="s">
        <v>2713</v>
      </c>
      <c r="C893" s="44" t="s">
        <v>2714</v>
      </c>
      <c r="D893" s="44" t="s">
        <v>47</v>
      </c>
      <c r="E893" s="45" t="b">
        <f aca="false">FALSE()</f>
        <v>0</v>
      </c>
      <c r="F893" s="43" t="s">
        <v>34</v>
      </c>
      <c r="G893" s="43" t="n">
        <v>892</v>
      </c>
      <c r="H893" s="44" t="s">
        <v>2715</v>
      </c>
      <c r="I893" s="44" t="s">
        <v>46</v>
      </c>
      <c r="J893" s="44" t="s">
        <v>37</v>
      </c>
      <c r="K893" s="46" t="n">
        <f aca="false">IF(E893=TRUE(),1,0)</f>
        <v>0</v>
      </c>
      <c r="L893" s="44"/>
    </row>
    <row r="894" customFormat="false" ht="15" hidden="false" customHeight="true" outlineLevel="0" collapsed="false">
      <c r="A894" s="38" t="n">
        <v>893</v>
      </c>
      <c r="B894" s="39" t="s">
        <v>2716</v>
      </c>
      <c r="C894" s="39" t="s">
        <v>2717</v>
      </c>
      <c r="D894" s="39" t="s">
        <v>37</v>
      </c>
      <c r="E894" s="40" t="b">
        <f aca="false">TRUE()</f>
        <v>1</v>
      </c>
      <c r="F894" s="38" t="s">
        <v>44</v>
      </c>
      <c r="G894" s="38" t="n">
        <v>893</v>
      </c>
      <c r="H894" s="39" t="s">
        <v>2718</v>
      </c>
      <c r="I894" s="39" t="s">
        <v>46</v>
      </c>
      <c r="J894" s="39" t="s">
        <v>33</v>
      </c>
      <c r="K894" s="41" t="n">
        <f aca="false">IF(E894=TRUE(),1,0)</f>
        <v>1</v>
      </c>
      <c r="L894" s="42" t="n">
        <v>46218.7101157407</v>
      </c>
    </row>
    <row r="895" customFormat="false" ht="15" hidden="false" customHeight="true" outlineLevel="0" collapsed="false">
      <c r="A895" s="43" t="n">
        <v>894</v>
      </c>
      <c r="B895" s="44" t="s">
        <v>2719</v>
      </c>
      <c r="C895" s="44" t="s">
        <v>2720</v>
      </c>
      <c r="D895" s="44" t="s">
        <v>47</v>
      </c>
      <c r="E895" s="45" t="b">
        <f aca="false">TRUE()</f>
        <v>1</v>
      </c>
      <c r="F895" s="43" t="s">
        <v>44</v>
      </c>
      <c r="G895" s="43" t="n">
        <v>894</v>
      </c>
      <c r="H895" s="44" t="s">
        <v>2721</v>
      </c>
      <c r="I895" s="44" t="s">
        <v>46</v>
      </c>
      <c r="J895" s="44" t="s">
        <v>47</v>
      </c>
      <c r="K895" s="46" t="n">
        <f aca="false">IF(E895=TRUE(),1,0)</f>
        <v>1</v>
      </c>
      <c r="L895" s="47" t="n">
        <v>46218.7103935185</v>
      </c>
    </row>
    <row r="896" customFormat="false" ht="15" hidden="false" customHeight="true" outlineLevel="0" collapsed="false">
      <c r="A896" s="38" t="n">
        <v>895</v>
      </c>
      <c r="B896" s="39" t="s">
        <v>2722</v>
      </c>
      <c r="C896" s="39" t="s">
        <v>2723</v>
      </c>
      <c r="D896" s="39" t="s">
        <v>47</v>
      </c>
      <c r="E896" s="40" t="b">
        <f aca="false">FALSE()</f>
        <v>0</v>
      </c>
      <c r="F896" s="38" t="s">
        <v>34</v>
      </c>
      <c r="G896" s="38" t="n">
        <v>895</v>
      </c>
      <c r="H896" s="39" t="s">
        <v>2724</v>
      </c>
      <c r="I896" s="39" t="s">
        <v>36</v>
      </c>
      <c r="J896" s="39" t="s">
        <v>33</v>
      </c>
      <c r="K896" s="41" t="n">
        <f aca="false">IF(E896=TRUE(),1,0)</f>
        <v>0</v>
      </c>
      <c r="L896" s="39"/>
    </row>
    <row r="897" customFormat="false" ht="15" hidden="false" customHeight="true" outlineLevel="0" collapsed="false">
      <c r="A897" s="43" t="n">
        <v>896</v>
      </c>
      <c r="B897" s="44" t="s">
        <v>2725</v>
      </c>
      <c r="C897" s="44" t="s">
        <v>2726</v>
      </c>
      <c r="D897" s="44" t="s">
        <v>33</v>
      </c>
      <c r="E897" s="45" t="b">
        <f aca="false">FALSE()</f>
        <v>0</v>
      </c>
      <c r="F897" s="43" t="s">
        <v>34</v>
      </c>
      <c r="G897" s="43" t="n">
        <v>896</v>
      </c>
      <c r="H897" s="44" t="s">
        <v>2727</v>
      </c>
      <c r="I897" s="44" t="s">
        <v>57</v>
      </c>
      <c r="J897" s="44" t="s">
        <v>33</v>
      </c>
      <c r="K897" s="46" t="n">
        <f aca="false">IF(E897=TRUE(),1,0)</f>
        <v>0</v>
      </c>
      <c r="L897" s="44"/>
    </row>
    <row r="898" customFormat="false" ht="15" hidden="false" customHeight="true" outlineLevel="0" collapsed="false">
      <c r="A898" s="38" t="n">
        <v>897</v>
      </c>
      <c r="B898" s="39" t="s">
        <v>2728</v>
      </c>
      <c r="C898" s="39" t="s">
        <v>2729</v>
      </c>
      <c r="D898" s="39" t="s">
        <v>37</v>
      </c>
      <c r="E898" s="40" t="b">
        <f aca="false">FALSE()</f>
        <v>0</v>
      </c>
      <c r="F898" s="38" t="s">
        <v>44</v>
      </c>
      <c r="G898" s="38" t="n">
        <v>897</v>
      </c>
      <c r="H898" s="39" t="s">
        <v>2730</v>
      </c>
      <c r="I898" s="39" t="s">
        <v>46</v>
      </c>
      <c r="J898" s="39" t="s">
        <v>37</v>
      </c>
      <c r="K898" s="41" t="n">
        <f aca="false">IF(E898=TRUE(),1,0)</f>
        <v>0</v>
      </c>
      <c r="L898" s="39"/>
    </row>
    <row r="899" customFormat="false" ht="15" hidden="false" customHeight="true" outlineLevel="0" collapsed="false">
      <c r="A899" s="43" t="n">
        <v>898</v>
      </c>
      <c r="B899" s="44" t="s">
        <v>2731</v>
      </c>
      <c r="C899" s="44" t="s">
        <v>2732</v>
      </c>
      <c r="D899" s="44" t="s">
        <v>33</v>
      </c>
      <c r="E899" s="45" t="b">
        <f aca="false">FALSE()</f>
        <v>0</v>
      </c>
      <c r="F899" s="43" t="s">
        <v>34</v>
      </c>
      <c r="G899" s="43" t="n">
        <v>898</v>
      </c>
      <c r="H899" s="44" t="s">
        <v>2733</v>
      </c>
      <c r="I899" s="44" t="s">
        <v>57</v>
      </c>
      <c r="J899" s="44" t="s">
        <v>47</v>
      </c>
      <c r="K899" s="46" t="n">
        <f aca="false">IF(E899=TRUE(),1,0)</f>
        <v>0</v>
      </c>
      <c r="L899" s="44"/>
    </row>
    <row r="900" customFormat="false" ht="15" hidden="false" customHeight="true" outlineLevel="0" collapsed="false">
      <c r="A900" s="38" t="n">
        <v>899</v>
      </c>
      <c r="B900" s="39" t="s">
        <v>2734</v>
      </c>
      <c r="C900" s="39" t="s">
        <v>2735</v>
      </c>
      <c r="D900" s="39" t="s">
        <v>37</v>
      </c>
      <c r="E900" s="40" t="b">
        <f aca="false">FALSE()</f>
        <v>0</v>
      </c>
      <c r="F900" s="38" t="s">
        <v>34</v>
      </c>
      <c r="G900" s="38" t="n">
        <v>899</v>
      </c>
      <c r="H900" s="39" t="s">
        <v>2736</v>
      </c>
      <c r="I900" s="39" t="s">
        <v>46</v>
      </c>
      <c r="J900" s="39" t="s">
        <v>47</v>
      </c>
      <c r="K900" s="41" t="n">
        <f aca="false">IF(E900=TRUE(),1,0)</f>
        <v>0</v>
      </c>
      <c r="L900" s="39"/>
    </row>
    <row r="901" customFormat="false" ht="15" hidden="false" customHeight="true" outlineLevel="0" collapsed="false">
      <c r="A901" s="43" t="n">
        <v>900</v>
      </c>
      <c r="B901" s="44" t="s">
        <v>2737</v>
      </c>
      <c r="C901" s="44" t="s">
        <v>2738</v>
      </c>
      <c r="D901" s="44" t="s">
        <v>47</v>
      </c>
      <c r="E901" s="45" t="b">
        <f aca="false">FALSE()</f>
        <v>0</v>
      </c>
      <c r="F901" s="43" t="s">
        <v>44</v>
      </c>
      <c r="G901" s="43" t="n">
        <v>900</v>
      </c>
      <c r="H901" s="44" t="s">
        <v>2739</v>
      </c>
      <c r="I901" s="44" t="s">
        <v>36</v>
      </c>
      <c r="J901" s="44" t="s">
        <v>33</v>
      </c>
      <c r="K901" s="46" t="n">
        <f aca="false">IF(E901=TRUE(),1,0)</f>
        <v>0</v>
      </c>
      <c r="L901" s="44"/>
    </row>
    <row r="902" customFormat="false" ht="15" hidden="false" customHeight="true" outlineLevel="0" collapsed="false">
      <c r="A902" s="38" t="n">
        <v>901</v>
      </c>
      <c r="B902" s="39" t="s">
        <v>2740</v>
      </c>
      <c r="C902" s="39" t="s">
        <v>2741</v>
      </c>
      <c r="D902" s="39" t="s">
        <v>37</v>
      </c>
      <c r="E902" s="40" t="b">
        <f aca="false">TRUE()</f>
        <v>1</v>
      </c>
      <c r="F902" s="38" t="s">
        <v>40</v>
      </c>
      <c r="G902" s="38" t="n">
        <v>901</v>
      </c>
      <c r="H902" s="39" t="s">
        <v>2742</v>
      </c>
      <c r="I902" s="39" t="s">
        <v>57</v>
      </c>
      <c r="J902" s="39" t="s">
        <v>37</v>
      </c>
      <c r="K902" s="41" t="n">
        <f aca="false">IF(E902=TRUE(),1,0)</f>
        <v>1</v>
      </c>
      <c r="L902" s="42" t="n">
        <v>46218.7107638889</v>
      </c>
    </row>
    <row r="903" customFormat="false" ht="15" hidden="false" customHeight="true" outlineLevel="0" collapsed="false">
      <c r="A903" s="43" t="n">
        <v>902</v>
      </c>
      <c r="B903" s="44" t="s">
        <v>2743</v>
      </c>
      <c r="C903" s="44" t="s">
        <v>2744</v>
      </c>
      <c r="D903" s="44" t="s">
        <v>37</v>
      </c>
      <c r="E903" s="45" t="b">
        <f aca="false">FALSE()</f>
        <v>0</v>
      </c>
      <c r="F903" s="43" t="s">
        <v>40</v>
      </c>
      <c r="G903" s="43" t="n">
        <v>902</v>
      </c>
      <c r="H903" s="44" t="s">
        <v>2745</v>
      </c>
      <c r="I903" s="44" t="s">
        <v>57</v>
      </c>
      <c r="J903" s="44" t="s">
        <v>33</v>
      </c>
      <c r="K903" s="46" t="n">
        <f aca="false">IF(E903=TRUE(),1,0)</f>
        <v>0</v>
      </c>
      <c r="L903" s="44"/>
    </row>
    <row r="904" customFormat="false" ht="15" hidden="false" customHeight="true" outlineLevel="0" collapsed="false">
      <c r="A904" s="38" t="n">
        <v>903</v>
      </c>
      <c r="B904" s="39" t="s">
        <v>2746</v>
      </c>
      <c r="C904" s="39" t="s">
        <v>2747</v>
      </c>
      <c r="D904" s="39" t="s">
        <v>37</v>
      </c>
      <c r="E904" s="40" t="b">
        <f aca="false">TRUE()</f>
        <v>1</v>
      </c>
      <c r="F904" s="38" t="s">
        <v>44</v>
      </c>
      <c r="G904" s="38" t="n">
        <v>903</v>
      </c>
      <c r="H904" s="39" t="s">
        <v>2748</v>
      </c>
      <c r="I904" s="39" t="s">
        <v>36</v>
      </c>
      <c r="J904" s="39" t="s">
        <v>33</v>
      </c>
      <c r="K904" s="41" t="n">
        <f aca="false">IF(E904=TRUE(),1,0)</f>
        <v>1</v>
      </c>
      <c r="L904" s="42" t="n">
        <v>46218.7112962963</v>
      </c>
    </row>
    <row r="905" customFormat="false" ht="15" hidden="false" customHeight="true" outlineLevel="0" collapsed="false">
      <c r="A905" s="43" t="n">
        <v>904</v>
      </c>
      <c r="B905" s="44" t="s">
        <v>2749</v>
      </c>
      <c r="C905" s="44" t="s">
        <v>2750</v>
      </c>
      <c r="D905" s="44" t="s">
        <v>37</v>
      </c>
      <c r="E905" s="45" t="b">
        <f aca="false">FALSE()</f>
        <v>0</v>
      </c>
      <c r="F905" s="43" t="s">
        <v>44</v>
      </c>
      <c r="G905" s="43" t="n">
        <v>904</v>
      </c>
      <c r="H905" s="44" t="s">
        <v>2751</v>
      </c>
      <c r="I905" s="44" t="s">
        <v>36</v>
      </c>
      <c r="J905" s="44" t="s">
        <v>47</v>
      </c>
      <c r="K905" s="46" t="n">
        <f aca="false">IF(E905=TRUE(),1,0)</f>
        <v>0</v>
      </c>
      <c r="L905" s="44"/>
    </row>
    <row r="906" customFormat="false" ht="15" hidden="false" customHeight="true" outlineLevel="0" collapsed="false">
      <c r="A906" s="38" t="n">
        <v>905</v>
      </c>
      <c r="B906" s="39" t="s">
        <v>2752</v>
      </c>
      <c r="C906" s="39" t="s">
        <v>2753</v>
      </c>
      <c r="D906" s="39" t="s">
        <v>47</v>
      </c>
      <c r="E906" s="40" t="b">
        <f aca="false">TRUE()</f>
        <v>1</v>
      </c>
      <c r="F906" s="38" t="s">
        <v>40</v>
      </c>
      <c r="G906" s="38" t="n">
        <v>905</v>
      </c>
      <c r="H906" s="39" t="s">
        <v>2754</v>
      </c>
      <c r="I906" s="39" t="s">
        <v>57</v>
      </c>
      <c r="J906" s="39" t="s">
        <v>47</v>
      </c>
      <c r="K906" s="41" t="n">
        <f aca="false">IF(E906=TRUE(),1,0)</f>
        <v>1</v>
      </c>
      <c r="L906" s="42" t="n">
        <v>46218.7112962963</v>
      </c>
    </row>
    <row r="907" customFormat="false" ht="15" hidden="false" customHeight="true" outlineLevel="0" collapsed="false">
      <c r="A907" s="43" t="n">
        <v>906</v>
      </c>
      <c r="B907" s="44" t="s">
        <v>2755</v>
      </c>
      <c r="C907" s="44" t="s">
        <v>2756</v>
      </c>
      <c r="D907" s="44" t="s">
        <v>47</v>
      </c>
      <c r="E907" s="45" t="b">
        <f aca="false">FALSE()</f>
        <v>0</v>
      </c>
      <c r="F907" s="43" t="s">
        <v>34</v>
      </c>
      <c r="G907" s="43" t="n">
        <v>906</v>
      </c>
      <c r="H907" s="44" t="s">
        <v>2757</v>
      </c>
      <c r="I907" s="44" t="s">
        <v>36</v>
      </c>
      <c r="J907" s="44" t="s">
        <v>37</v>
      </c>
      <c r="K907" s="46" t="n">
        <f aca="false">IF(E907=TRUE(),1,0)</f>
        <v>0</v>
      </c>
      <c r="L907" s="44"/>
    </row>
    <row r="908" customFormat="false" ht="15" hidden="false" customHeight="true" outlineLevel="0" collapsed="false">
      <c r="A908" s="38" t="n">
        <v>907</v>
      </c>
      <c r="B908" s="39" t="s">
        <v>2758</v>
      </c>
      <c r="C908" s="39" t="s">
        <v>2759</v>
      </c>
      <c r="D908" s="39" t="s">
        <v>47</v>
      </c>
      <c r="E908" s="40" t="b">
        <f aca="false">TRUE()</f>
        <v>1</v>
      </c>
      <c r="F908" s="38" t="s">
        <v>44</v>
      </c>
      <c r="G908" s="38" t="n">
        <v>907</v>
      </c>
      <c r="H908" s="39" t="s">
        <v>2760</v>
      </c>
      <c r="I908" s="39" t="s">
        <v>36</v>
      </c>
      <c r="J908" s="39" t="s">
        <v>33</v>
      </c>
      <c r="K908" s="41" t="n">
        <f aca="false">IF(E908=TRUE(),1,0)</f>
        <v>1</v>
      </c>
      <c r="L908" s="42" t="n">
        <v>46218.7118171296</v>
      </c>
    </row>
    <row r="909" customFormat="false" ht="15" hidden="false" customHeight="true" outlineLevel="0" collapsed="false">
      <c r="A909" s="43" t="n">
        <v>908</v>
      </c>
      <c r="B909" s="44" t="s">
        <v>2761</v>
      </c>
      <c r="C909" s="44" t="s">
        <v>2762</v>
      </c>
      <c r="D909" s="44" t="s">
        <v>37</v>
      </c>
      <c r="E909" s="45" t="b">
        <f aca="false">FALSE()</f>
        <v>0</v>
      </c>
      <c r="F909" s="43" t="s">
        <v>44</v>
      </c>
      <c r="G909" s="43" t="n">
        <v>908</v>
      </c>
      <c r="H909" s="44" t="s">
        <v>2763</v>
      </c>
      <c r="I909" s="44" t="s">
        <v>36</v>
      </c>
      <c r="J909" s="44" t="s">
        <v>33</v>
      </c>
      <c r="K909" s="46" t="n">
        <f aca="false">IF(E909=TRUE(),1,0)</f>
        <v>0</v>
      </c>
      <c r="L909" s="44"/>
    </row>
    <row r="910" customFormat="false" ht="15" hidden="false" customHeight="true" outlineLevel="0" collapsed="false">
      <c r="A910" s="38" t="n">
        <v>909</v>
      </c>
      <c r="B910" s="39" t="s">
        <v>2764</v>
      </c>
      <c r="C910" s="39" t="s">
        <v>2765</v>
      </c>
      <c r="D910" s="39" t="s">
        <v>47</v>
      </c>
      <c r="E910" s="40" t="b">
        <f aca="false">FALSE()</f>
        <v>0</v>
      </c>
      <c r="F910" s="38" t="s">
        <v>40</v>
      </c>
      <c r="G910" s="38" t="n">
        <v>909</v>
      </c>
      <c r="H910" s="39" t="s">
        <v>2766</v>
      </c>
      <c r="I910" s="39" t="s">
        <v>46</v>
      </c>
      <c r="J910" s="39" t="s">
        <v>37</v>
      </c>
      <c r="K910" s="41" t="n">
        <f aca="false">IF(E910=TRUE(),1,0)</f>
        <v>0</v>
      </c>
      <c r="L910" s="39"/>
    </row>
    <row r="911" customFormat="false" ht="15" hidden="false" customHeight="true" outlineLevel="0" collapsed="false">
      <c r="A911" s="43" t="n">
        <v>910</v>
      </c>
      <c r="B911" s="44" t="s">
        <v>2767</v>
      </c>
      <c r="C911" s="44" t="s">
        <v>2768</v>
      </c>
      <c r="D911" s="44" t="s">
        <v>33</v>
      </c>
      <c r="E911" s="45" t="b">
        <f aca="false">TRUE()</f>
        <v>1</v>
      </c>
      <c r="F911" s="43" t="s">
        <v>34</v>
      </c>
      <c r="G911" s="43" t="n">
        <v>910</v>
      </c>
      <c r="H911" s="44" t="s">
        <v>2769</v>
      </c>
      <c r="I911" s="44" t="s">
        <v>57</v>
      </c>
      <c r="J911" s="44" t="s">
        <v>37</v>
      </c>
      <c r="K911" s="46" t="n">
        <f aca="false">IF(E911=TRUE(),1,0)</f>
        <v>1</v>
      </c>
      <c r="L911" s="47" t="n">
        <v>46218.7121875</v>
      </c>
    </row>
    <row r="912" customFormat="false" ht="15" hidden="false" customHeight="true" outlineLevel="0" collapsed="false">
      <c r="A912" s="38" t="n">
        <v>911</v>
      </c>
      <c r="B912" s="39" t="s">
        <v>2770</v>
      </c>
      <c r="C912" s="39" t="s">
        <v>2771</v>
      </c>
      <c r="D912" s="39" t="s">
        <v>47</v>
      </c>
      <c r="E912" s="40" t="b">
        <f aca="false">TRUE()</f>
        <v>1</v>
      </c>
      <c r="F912" s="38" t="s">
        <v>40</v>
      </c>
      <c r="G912" s="38" t="n">
        <v>911</v>
      </c>
      <c r="H912" s="39" t="s">
        <v>2772</v>
      </c>
      <c r="I912" s="39" t="s">
        <v>36</v>
      </c>
      <c r="J912" s="39" t="s">
        <v>33</v>
      </c>
      <c r="K912" s="41" t="n">
        <f aca="false">IF(E912=TRUE(),1,0)</f>
        <v>1</v>
      </c>
      <c r="L912" s="42" t="n">
        <v>46218.712337963</v>
      </c>
    </row>
    <row r="913" customFormat="false" ht="15" hidden="false" customHeight="true" outlineLevel="0" collapsed="false">
      <c r="A913" s="43" t="n">
        <v>912</v>
      </c>
      <c r="B913" s="44" t="s">
        <v>2773</v>
      </c>
      <c r="C913" s="44" t="s">
        <v>2774</v>
      </c>
      <c r="D913" s="44" t="s">
        <v>37</v>
      </c>
      <c r="E913" s="45" t="b">
        <f aca="false">TRUE()</f>
        <v>1</v>
      </c>
      <c r="F913" s="43" t="s">
        <v>44</v>
      </c>
      <c r="G913" s="43" t="n">
        <v>912</v>
      </c>
      <c r="H913" s="44" t="s">
        <v>2775</v>
      </c>
      <c r="I913" s="44" t="s">
        <v>36</v>
      </c>
      <c r="J913" s="44" t="s">
        <v>33</v>
      </c>
      <c r="K913" s="46" t="n">
        <f aca="false">IF(E913=TRUE(),1,0)</f>
        <v>1</v>
      </c>
      <c r="L913" s="47" t="n">
        <v>46218.7132175926</v>
      </c>
    </row>
    <row r="914" customFormat="false" ht="15" hidden="false" customHeight="true" outlineLevel="0" collapsed="false">
      <c r="A914" s="38" t="n">
        <v>913</v>
      </c>
      <c r="B914" s="39" t="s">
        <v>2776</v>
      </c>
      <c r="C914" s="39" t="s">
        <v>2777</v>
      </c>
      <c r="D914" s="39" t="s">
        <v>47</v>
      </c>
      <c r="E914" s="40" t="b">
        <f aca="false">TRUE()</f>
        <v>1</v>
      </c>
      <c r="F914" s="38" t="s">
        <v>44</v>
      </c>
      <c r="G914" s="38" t="n">
        <v>913</v>
      </c>
      <c r="H914" s="39" t="s">
        <v>2778</v>
      </c>
      <c r="I914" s="39" t="s">
        <v>36</v>
      </c>
      <c r="J914" s="39" t="s">
        <v>37</v>
      </c>
      <c r="K914" s="41" t="n">
        <f aca="false">IF(E914=TRUE(),1,0)</f>
        <v>1</v>
      </c>
      <c r="L914" s="42" t="n">
        <v>46218.7141203704</v>
      </c>
    </row>
    <row r="915" customFormat="false" ht="15" hidden="false" customHeight="true" outlineLevel="0" collapsed="false">
      <c r="A915" s="43" t="n">
        <v>914</v>
      </c>
      <c r="B915" s="44" t="s">
        <v>2779</v>
      </c>
      <c r="C915" s="44" t="s">
        <v>2780</v>
      </c>
      <c r="D915" s="44" t="s">
        <v>37</v>
      </c>
      <c r="E915" s="45" t="b">
        <f aca="false">FALSE()</f>
        <v>0</v>
      </c>
      <c r="F915" s="43" t="s">
        <v>40</v>
      </c>
      <c r="G915" s="43" t="n">
        <v>914</v>
      </c>
      <c r="H915" s="44" t="s">
        <v>2781</v>
      </c>
      <c r="I915" s="44" t="s">
        <v>46</v>
      </c>
      <c r="J915" s="44" t="s">
        <v>33</v>
      </c>
      <c r="K915" s="46" t="n">
        <f aca="false">IF(E915=TRUE(),1,0)</f>
        <v>0</v>
      </c>
      <c r="L915" s="44"/>
    </row>
    <row r="916" customFormat="false" ht="15" hidden="false" customHeight="true" outlineLevel="0" collapsed="false">
      <c r="A916" s="38" t="n">
        <v>915</v>
      </c>
      <c r="B916" s="39" t="s">
        <v>2782</v>
      </c>
      <c r="C916" s="39" t="s">
        <v>2783</v>
      </c>
      <c r="D916" s="39" t="s">
        <v>47</v>
      </c>
      <c r="E916" s="40" t="b">
        <f aca="false">FALSE()</f>
        <v>0</v>
      </c>
      <c r="F916" s="38" t="s">
        <v>34</v>
      </c>
      <c r="G916" s="38" t="n">
        <v>915</v>
      </c>
      <c r="H916" s="39" t="s">
        <v>2784</v>
      </c>
      <c r="I916" s="39" t="s">
        <v>46</v>
      </c>
      <c r="J916" s="39" t="s">
        <v>37</v>
      </c>
      <c r="K916" s="41" t="n">
        <f aca="false">IF(E916=TRUE(),1,0)</f>
        <v>0</v>
      </c>
      <c r="L916" s="39"/>
    </row>
    <row r="917" customFormat="false" ht="15" hidden="false" customHeight="true" outlineLevel="0" collapsed="false">
      <c r="A917" s="43" t="n">
        <v>916</v>
      </c>
      <c r="B917" s="44" t="s">
        <v>2785</v>
      </c>
      <c r="C917" s="44" t="s">
        <v>2786</v>
      </c>
      <c r="D917" s="44" t="s">
        <v>37</v>
      </c>
      <c r="E917" s="45" t="b">
        <f aca="false">TRUE()</f>
        <v>1</v>
      </c>
      <c r="F917" s="43" t="s">
        <v>40</v>
      </c>
      <c r="G917" s="43" t="n">
        <v>916</v>
      </c>
      <c r="H917" s="44" t="s">
        <v>2787</v>
      </c>
      <c r="I917" s="44" t="s">
        <v>46</v>
      </c>
      <c r="J917" s="44" t="s">
        <v>47</v>
      </c>
      <c r="K917" s="46" t="n">
        <f aca="false">IF(E917=TRUE(),1,0)</f>
        <v>1</v>
      </c>
      <c r="L917" s="47" t="n">
        <v>46218.7163425926</v>
      </c>
    </row>
    <row r="918" customFormat="false" ht="15" hidden="false" customHeight="true" outlineLevel="0" collapsed="false">
      <c r="A918" s="38" t="n">
        <v>917</v>
      </c>
      <c r="B918" s="39" t="s">
        <v>2788</v>
      </c>
      <c r="C918" s="39" t="s">
        <v>2789</v>
      </c>
      <c r="D918" s="39" t="s">
        <v>33</v>
      </c>
      <c r="E918" s="40" t="b">
        <f aca="false">FALSE()</f>
        <v>0</v>
      </c>
      <c r="F918" s="38" t="s">
        <v>40</v>
      </c>
      <c r="G918" s="38" t="n">
        <v>917</v>
      </c>
      <c r="H918" s="39" t="s">
        <v>2790</v>
      </c>
      <c r="I918" s="39" t="s">
        <v>46</v>
      </c>
      <c r="J918" s="39" t="s">
        <v>47</v>
      </c>
      <c r="K918" s="41" t="n">
        <f aca="false">IF(E918=TRUE(),1,0)</f>
        <v>0</v>
      </c>
      <c r="L918" s="39"/>
    </row>
    <row r="919" customFormat="false" ht="15" hidden="false" customHeight="true" outlineLevel="0" collapsed="false">
      <c r="A919" s="43" t="n">
        <v>918</v>
      </c>
      <c r="B919" s="44" t="s">
        <v>2791</v>
      </c>
      <c r="C919" s="44" t="s">
        <v>2792</v>
      </c>
      <c r="D919" s="44" t="s">
        <v>47</v>
      </c>
      <c r="E919" s="45" t="b">
        <f aca="false">TRUE()</f>
        <v>1</v>
      </c>
      <c r="F919" s="43" t="s">
        <v>44</v>
      </c>
      <c r="G919" s="43" t="n">
        <v>918</v>
      </c>
      <c r="H919" s="44" t="s">
        <v>2793</v>
      </c>
      <c r="I919" s="44" t="s">
        <v>46</v>
      </c>
      <c r="J919" s="44" t="s">
        <v>33</v>
      </c>
      <c r="K919" s="46" t="n">
        <f aca="false">IF(E919=TRUE(),1,0)</f>
        <v>1</v>
      </c>
      <c r="L919" s="47" t="n">
        <v>46218.7171180556</v>
      </c>
    </row>
    <row r="920" customFormat="false" ht="15" hidden="false" customHeight="true" outlineLevel="0" collapsed="false">
      <c r="A920" s="38" t="n">
        <v>919</v>
      </c>
      <c r="B920" s="39" t="s">
        <v>2794</v>
      </c>
      <c r="C920" s="39" t="s">
        <v>2795</v>
      </c>
      <c r="D920" s="39" t="s">
        <v>33</v>
      </c>
      <c r="E920" s="40" t="b">
        <f aca="false">FALSE()</f>
        <v>0</v>
      </c>
      <c r="F920" s="38" t="s">
        <v>44</v>
      </c>
      <c r="G920" s="38" t="n">
        <v>919</v>
      </c>
      <c r="H920" s="39" t="s">
        <v>2796</v>
      </c>
      <c r="I920" s="39" t="s">
        <v>57</v>
      </c>
      <c r="J920" s="39" t="s">
        <v>47</v>
      </c>
      <c r="K920" s="41" t="n">
        <f aca="false">IF(E920=TRUE(),1,0)</f>
        <v>0</v>
      </c>
      <c r="L920" s="39"/>
    </row>
    <row r="921" customFormat="false" ht="15" hidden="false" customHeight="true" outlineLevel="0" collapsed="false">
      <c r="A921" s="43" t="n">
        <v>920</v>
      </c>
      <c r="B921" s="44" t="s">
        <v>2797</v>
      </c>
      <c r="C921" s="44" t="s">
        <v>2798</v>
      </c>
      <c r="D921" s="44" t="s">
        <v>33</v>
      </c>
      <c r="E921" s="45" t="b">
        <f aca="false">FALSE()</f>
        <v>0</v>
      </c>
      <c r="F921" s="43" t="s">
        <v>34</v>
      </c>
      <c r="G921" s="43" t="n">
        <v>920</v>
      </c>
      <c r="H921" s="44" t="s">
        <v>2799</v>
      </c>
      <c r="I921" s="44" t="s">
        <v>57</v>
      </c>
      <c r="J921" s="44" t="s">
        <v>33</v>
      </c>
      <c r="K921" s="46" t="n">
        <f aca="false">IF(E921=TRUE(),1,0)</f>
        <v>0</v>
      </c>
      <c r="L921" s="44"/>
    </row>
    <row r="922" customFormat="false" ht="15" hidden="false" customHeight="true" outlineLevel="0" collapsed="false">
      <c r="A922" s="38" t="n">
        <v>921</v>
      </c>
      <c r="B922" s="39" t="s">
        <v>2800</v>
      </c>
      <c r="C922" s="39" t="s">
        <v>2801</v>
      </c>
      <c r="D922" s="39" t="s">
        <v>37</v>
      </c>
      <c r="E922" s="40" t="b">
        <f aca="false">TRUE()</f>
        <v>1</v>
      </c>
      <c r="F922" s="38" t="s">
        <v>44</v>
      </c>
      <c r="G922" s="38" t="n">
        <v>921</v>
      </c>
      <c r="H922" s="39" t="s">
        <v>2802</v>
      </c>
      <c r="I922" s="39" t="s">
        <v>57</v>
      </c>
      <c r="J922" s="39" t="s">
        <v>33</v>
      </c>
      <c r="K922" s="41" t="n">
        <f aca="false">IF(E922=TRUE(),1,0)</f>
        <v>1</v>
      </c>
      <c r="L922" s="42" t="n">
        <v>46218.7173726852</v>
      </c>
    </row>
    <row r="923" customFormat="false" ht="15" hidden="false" customHeight="true" outlineLevel="0" collapsed="false">
      <c r="A923" s="43" t="n">
        <v>922</v>
      </c>
      <c r="B923" s="44" t="s">
        <v>2803</v>
      </c>
      <c r="C923" s="44" t="s">
        <v>2804</v>
      </c>
      <c r="D923" s="44" t="s">
        <v>37</v>
      </c>
      <c r="E923" s="45" t="b">
        <f aca="false">TRUE()</f>
        <v>1</v>
      </c>
      <c r="F923" s="43" t="s">
        <v>40</v>
      </c>
      <c r="G923" s="43" t="n">
        <v>922</v>
      </c>
      <c r="H923" s="44" t="s">
        <v>2805</v>
      </c>
      <c r="I923" s="44" t="s">
        <v>36</v>
      </c>
      <c r="J923" s="44" t="s">
        <v>47</v>
      </c>
      <c r="K923" s="46" t="n">
        <f aca="false">IF(E923=TRUE(),1,0)</f>
        <v>1</v>
      </c>
      <c r="L923" s="47" t="n">
        <v>46218.7174652778</v>
      </c>
    </row>
    <row r="924" customFormat="false" ht="15" hidden="false" customHeight="true" outlineLevel="0" collapsed="false">
      <c r="A924" s="38" t="n">
        <v>923</v>
      </c>
      <c r="B924" s="39" t="s">
        <v>2806</v>
      </c>
      <c r="C924" s="39" t="s">
        <v>2807</v>
      </c>
      <c r="D924" s="39" t="s">
        <v>33</v>
      </c>
      <c r="E924" s="40" t="b">
        <f aca="false">FALSE()</f>
        <v>0</v>
      </c>
      <c r="F924" s="38" t="s">
        <v>40</v>
      </c>
      <c r="G924" s="38" t="n">
        <v>923</v>
      </c>
      <c r="H924" s="39" t="s">
        <v>2808</v>
      </c>
      <c r="I924" s="39" t="s">
        <v>36</v>
      </c>
      <c r="J924" s="39" t="s">
        <v>37</v>
      </c>
      <c r="K924" s="41" t="n">
        <f aca="false">IF(E924=TRUE(),1,0)</f>
        <v>0</v>
      </c>
      <c r="L924" s="39"/>
    </row>
    <row r="925" customFormat="false" ht="15" hidden="false" customHeight="true" outlineLevel="0" collapsed="false">
      <c r="A925" s="43" t="n">
        <v>924</v>
      </c>
      <c r="B925" s="44" t="s">
        <v>2809</v>
      </c>
      <c r="C925" s="44" t="s">
        <v>2810</v>
      </c>
      <c r="D925" s="44" t="s">
        <v>33</v>
      </c>
      <c r="E925" s="45" t="b">
        <f aca="false">FALSE()</f>
        <v>0</v>
      </c>
      <c r="F925" s="43" t="s">
        <v>44</v>
      </c>
      <c r="G925" s="43" t="n">
        <v>924</v>
      </c>
      <c r="H925" s="44" t="s">
        <v>2811</v>
      </c>
      <c r="I925" s="44" t="s">
        <v>57</v>
      </c>
      <c r="J925" s="44" t="s">
        <v>33</v>
      </c>
      <c r="K925" s="46" t="n">
        <f aca="false">IF(E925=TRUE(),1,0)</f>
        <v>0</v>
      </c>
      <c r="L925" s="44"/>
    </row>
    <row r="926" customFormat="false" ht="15" hidden="false" customHeight="true" outlineLevel="0" collapsed="false">
      <c r="A926" s="38" t="n">
        <v>925</v>
      </c>
      <c r="B926" s="39" t="s">
        <v>2812</v>
      </c>
      <c r="C926" s="39" t="s">
        <v>2813</v>
      </c>
      <c r="D926" s="39" t="s">
        <v>37</v>
      </c>
      <c r="E926" s="40" t="b">
        <f aca="false">TRUE()</f>
        <v>1</v>
      </c>
      <c r="F926" s="38" t="s">
        <v>34</v>
      </c>
      <c r="G926" s="38" t="n">
        <v>925</v>
      </c>
      <c r="H926" s="39" t="s">
        <v>2814</v>
      </c>
      <c r="I926" s="39" t="s">
        <v>46</v>
      </c>
      <c r="J926" s="39" t="s">
        <v>37</v>
      </c>
      <c r="K926" s="41" t="n">
        <f aca="false">IF(E926=TRUE(),1,0)</f>
        <v>1</v>
      </c>
      <c r="L926" s="42" t="n">
        <v>46218.7187037037</v>
      </c>
    </row>
    <row r="927" customFormat="false" ht="15" hidden="false" customHeight="true" outlineLevel="0" collapsed="false">
      <c r="A927" s="43" t="n">
        <v>926</v>
      </c>
      <c r="B927" s="44" t="s">
        <v>2815</v>
      </c>
      <c r="C927" s="44" t="s">
        <v>2816</v>
      </c>
      <c r="D927" s="44" t="s">
        <v>33</v>
      </c>
      <c r="E927" s="45" t="b">
        <f aca="false">TRUE()</f>
        <v>1</v>
      </c>
      <c r="F927" s="43" t="s">
        <v>40</v>
      </c>
      <c r="G927" s="43" t="n">
        <v>926</v>
      </c>
      <c r="H927" s="44" t="s">
        <v>2817</v>
      </c>
      <c r="I927" s="44" t="s">
        <v>36</v>
      </c>
      <c r="J927" s="44" t="s">
        <v>33</v>
      </c>
      <c r="K927" s="46" t="n">
        <f aca="false">IF(E927=TRUE(),1,0)</f>
        <v>1</v>
      </c>
      <c r="L927" s="47" t="n">
        <v>46218.7203935185</v>
      </c>
    </row>
    <row r="928" customFormat="false" ht="15" hidden="false" customHeight="true" outlineLevel="0" collapsed="false">
      <c r="A928" s="38" t="n">
        <v>927</v>
      </c>
      <c r="B928" s="39" t="s">
        <v>2818</v>
      </c>
      <c r="C928" s="39" t="s">
        <v>2819</v>
      </c>
      <c r="D928" s="39" t="s">
        <v>47</v>
      </c>
      <c r="E928" s="40" t="b">
        <f aca="false">TRUE()</f>
        <v>1</v>
      </c>
      <c r="F928" s="38" t="s">
        <v>40</v>
      </c>
      <c r="G928" s="38" t="n">
        <v>927</v>
      </c>
      <c r="H928" s="39" t="s">
        <v>2820</v>
      </c>
      <c r="I928" s="39" t="s">
        <v>36</v>
      </c>
      <c r="J928" s="39" t="s">
        <v>33</v>
      </c>
      <c r="K928" s="41" t="n">
        <f aca="false">IF(E928=TRUE(),1,0)</f>
        <v>1</v>
      </c>
      <c r="L928" s="42" t="n">
        <v>46218.721875</v>
      </c>
    </row>
    <row r="929" customFormat="false" ht="15" hidden="false" customHeight="true" outlineLevel="0" collapsed="false">
      <c r="A929" s="43" t="n">
        <v>928</v>
      </c>
      <c r="B929" s="44" t="s">
        <v>2821</v>
      </c>
      <c r="C929" s="44" t="s">
        <v>2822</v>
      </c>
      <c r="D929" s="44" t="s">
        <v>37</v>
      </c>
      <c r="E929" s="45" t="b">
        <f aca="false">FALSE()</f>
        <v>0</v>
      </c>
      <c r="F929" s="43" t="s">
        <v>40</v>
      </c>
      <c r="G929" s="43" t="n">
        <v>928</v>
      </c>
      <c r="H929" s="44" t="s">
        <v>2823</v>
      </c>
      <c r="I929" s="44" t="s">
        <v>57</v>
      </c>
      <c r="J929" s="44" t="s">
        <v>33</v>
      </c>
      <c r="K929" s="46" t="n">
        <f aca="false">IF(E929=TRUE(),1,0)</f>
        <v>0</v>
      </c>
      <c r="L929" s="44"/>
    </row>
    <row r="930" customFormat="false" ht="15" hidden="false" customHeight="true" outlineLevel="0" collapsed="false">
      <c r="A930" s="38" t="n">
        <v>929</v>
      </c>
      <c r="B930" s="39" t="s">
        <v>2824</v>
      </c>
      <c r="C930" s="39" t="s">
        <v>2825</v>
      </c>
      <c r="D930" s="39" t="s">
        <v>33</v>
      </c>
      <c r="E930" s="40" t="b">
        <f aca="false">FALSE()</f>
        <v>0</v>
      </c>
      <c r="F930" s="38" t="s">
        <v>44</v>
      </c>
      <c r="G930" s="38" t="n">
        <v>929</v>
      </c>
      <c r="H930" s="39" t="s">
        <v>2826</v>
      </c>
      <c r="I930" s="39" t="s">
        <v>46</v>
      </c>
      <c r="J930" s="39" t="s">
        <v>33</v>
      </c>
      <c r="K930" s="41" t="n">
        <f aca="false">IF(E930=TRUE(),1,0)</f>
        <v>0</v>
      </c>
      <c r="L930" s="39"/>
    </row>
    <row r="931" customFormat="false" ht="15" hidden="false" customHeight="true" outlineLevel="0" collapsed="false">
      <c r="A931" s="43" t="n">
        <v>930</v>
      </c>
      <c r="B931" s="44" t="s">
        <v>2827</v>
      </c>
      <c r="C931" s="44" t="s">
        <v>2828</v>
      </c>
      <c r="D931" s="44" t="s">
        <v>37</v>
      </c>
      <c r="E931" s="45" t="b">
        <f aca="false">TRUE()</f>
        <v>1</v>
      </c>
      <c r="F931" s="43" t="s">
        <v>40</v>
      </c>
      <c r="G931" s="43" t="n">
        <v>930</v>
      </c>
      <c r="H931" s="44" t="s">
        <v>2829</v>
      </c>
      <c r="I931" s="44" t="s">
        <v>36</v>
      </c>
      <c r="J931" s="44" t="s">
        <v>37</v>
      </c>
      <c r="K931" s="46" t="n">
        <f aca="false">IF(E931=TRUE(),1,0)</f>
        <v>1</v>
      </c>
      <c r="L931" s="47" t="n">
        <v>46218.7220138889</v>
      </c>
    </row>
    <row r="932" customFormat="false" ht="15" hidden="false" customHeight="true" outlineLevel="0" collapsed="false">
      <c r="A932" s="38" t="n">
        <v>931</v>
      </c>
      <c r="B932" s="39" t="s">
        <v>2830</v>
      </c>
      <c r="C932" s="39" t="s">
        <v>2831</v>
      </c>
      <c r="D932" s="39" t="s">
        <v>47</v>
      </c>
      <c r="E932" s="40" t="b">
        <f aca="false">FALSE()</f>
        <v>0</v>
      </c>
      <c r="F932" s="38" t="s">
        <v>40</v>
      </c>
      <c r="G932" s="38" t="n">
        <v>931</v>
      </c>
      <c r="H932" s="39" t="s">
        <v>2832</v>
      </c>
      <c r="I932" s="39" t="s">
        <v>46</v>
      </c>
      <c r="J932" s="39" t="s">
        <v>47</v>
      </c>
      <c r="K932" s="41" t="n">
        <f aca="false">IF(E932=TRUE(),1,0)</f>
        <v>0</v>
      </c>
      <c r="L932" s="39"/>
    </row>
    <row r="933" customFormat="false" ht="15" hidden="false" customHeight="true" outlineLevel="0" collapsed="false">
      <c r="A933" s="43" t="n">
        <v>932</v>
      </c>
      <c r="B933" s="44" t="s">
        <v>2833</v>
      </c>
      <c r="C933" s="44" t="s">
        <v>2834</v>
      </c>
      <c r="D933" s="44" t="s">
        <v>47</v>
      </c>
      <c r="E933" s="45" t="b">
        <f aca="false">FALSE()</f>
        <v>0</v>
      </c>
      <c r="F933" s="43" t="s">
        <v>44</v>
      </c>
      <c r="G933" s="43" t="n">
        <v>932</v>
      </c>
      <c r="H933" s="44" t="s">
        <v>2835</v>
      </c>
      <c r="I933" s="44" t="s">
        <v>36</v>
      </c>
      <c r="J933" s="44" t="s">
        <v>33</v>
      </c>
      <c r="K933" s="46" t="n">
        <f aca="false">IF(E933=TRUE(),1,0)</f>
        <v>0</v>
      </c>
      <c r="L933" s="44"/>
    </row>
    <row r="934" customFormat="false" ht="15" hidden="false" customHeight="true" outlineLevel="0" collapsed="false">
      <c r="A934" s="38" t="n">
        <v>933</v>
      </c>
      <c r="B934" s="39" t="s">
        <v>2836</v>
      </c>
      <c r="C934" s="39" t="s">
        <v>2837</v>
      </c>
      <c r="D934" s="39" t="s">
        <v>33</v>
      </c>
      <c r="E934" s="40" t="b">
        <f aca="false">FALSE()</f>
        <v>0</v>
      </c>
      <c r="F934" s="38" t="s">
        <v>40</v>
      </c>
      <c r="G934" s="38" t="n">
        <v>933</v>
      </c>
      <c r="H934" s="39" t="s">
        <v>2838</v>
      </c>
      <c r="I934" s="39" t="s">
        <v>57</v>
      </c>
      <c r="J934" s="39" t="s">
        <v>33</v>
      </c>
      <c r="K934" s="41" t="n">
        <f aca="false">IF(E934=TRUE(),1,0)</f>
        <v>0</v>
      </c>
      <c r="L934" s="39"/>
    </row>
    <row r="935" customFormat="false" ht="15" hidden="false" customHeight="true" outlineLevel="0" collapsed="false">
      <c r="A935" s="43" t="n">
        <v>934</v>
      </c>
      <c r="B935" s="44" t="s">
        <v>2839</v>
      </c>
      <c r="C935" s="44" t="s">
        <v>2840</v>
      </c>
      <c r="D935" s="44" t="s">
        <v>37</v>
      </c>
      <c r="E935" s="45" t="b">
        <f aca="false">TRUE()</f>
        <v>1</v>
      </c>
      <c r="F935" s="43" t="s">
        <v>44</v>
      </c>
      <c r="G935" s="43" t="n">
        <v>934</v>
      </c>
      <c r="H935" s="44" t="s">
        <v>2841</v>
      </c>
      <c r="I935" s="44" t="s">
        <v>57</v>
      </c>
      <c r="J935" s="44" t="s">
        <v>37</v>
      </c>
      <c r="K935" s="46" t="n">
        <f aca="false">IF(E935=TRUE(),1,0)</f>
        <v>1</v>
      </c>
      <c r="L935" s="47" t="n">
        <v>46218.7233333333</v>
      </c>
    </row>
    <row r="936" customFormat="false" ht="15" hidden="false" customHeight="true" outlineLevel="0" collapsed="false">
      <c r="A936" s="38" t="n">
        <v>935</v>
      </c>
      <c r="B936" s="39" t="s">
        <v>2842</v>
      </c>
      <c r="C936" s="39" t="s">
        <v>2843</v>
      </c>
      <c r="D936" s="39" t="s">
        <v>37</v>
      </c>
      <c r="E936" s="40" t="b">
        <f aca="false">FALSE()</f>
        <v>0</v>
      </c>
      <c r="F936" s="38" t="s">
        <v>34</v>
      </c>
      <c r="G936" s="38" t="n">
        <v>935</v>
      </c>
      <c r="H936" s="39" t="s">
        <v>2844</v>
      </c>
      <c r="I936" s="39" t="s">
        <v>57</v>
      </c>
      <c r="J936" s="39" t="s">
        <v>33</v>
      </c>
      <c r="K936" s="41" t="n">
        <f aca="false">IF(E936=TRUE(),1,0)</f>
        <v>0</v>
      </c>
      <c r="L936" s="39"/>
    </row>
    <row r="937" customFormat="false" ht="15" hidden="false" customHeight="true" outlineLevel="0" collapsed="false">
      <c r="A937" s="43" t="n">
        <v>936</v>
      </c>
      <c r="B937" s="44" t="s">
        <v>2845</v>
      </c>
      <c r="C937" s="44" t="s">
        <v>2846</v>
      </c>
      <c r="D937" s="44" t="s">
        <v>37</v>
      </c>
      <c r="E937" s="45" t="b">
        <f aca="false">FALSE()</f>
        <v>0</v>
      </c>
      <c r="F937" s="43" t="s">
        <v>44</v>
      </c>
      <c r="G937" s="43" t="n">
        <v>936</v>
      </c>
      <c r="H937" s="44" t="s">
        <v>2847</v>
      </c>
      <c r="I937" s="44" t="s">
        <v>57</v>
      </c>
      <c r="J937" s="44" t="s">
        <v>37</v>
      </c>
      <c r="K937" s="46" t="n">
        <f aca="false">IF(E937=TRUE(),1,0)</f>
        <v>0</v>
      </c>
      <c r="L937" s="44"/>
    </row>
    <row r="938" customFormat="false" ht="15" hidden="false" customHeight="true" outlineLevel="0" collapsed="false">
      <c r="A938" s="38" t="n">
        <v>937</v>
      </c>
      <c r="B938" s="39" t="s">
        <v>2848</v>
      </c>
      <c r="C938" s="39" t="s">
        <v>2849</v>
      </c>
      <c r="D938" s="39" t="s">
        <v>47</v>
      </c>
      <c r="E938" s="40" t="b">
        <f aca="false">TRUE()</f>
        <v>1</v>
      </c>
      <c r="F938" s="38" t="s">
        <v>34</v>
      </c>
      <c r="G938" s="38" t="n">
        <v>937</v>
      </c>
      <c r="H938" s="39" t="s">
        <v>2850</v>
      </c>
      <c r="I938" s="39" t="s">
        <v>57</v>
      </c>
      <c r="J938" s="39" t="s">
        <v>37</v>
      </c>
      <c r="K938" s="41" t="n">
        <f aca="false">IF(E938=TRUE(),1,0)</f>
        <v>1</v>
      </c>
      <c r="L938" s="42" t="n">
        <v>46218.7237731482</v>
      </c>
    </row>
    <row r="939" customFormat="false" ht="15" hidden="false" customHeight="true" outlineLevel="0" collapsed="false">
      <c r="A939" s="43" t="n">
        <v>938</v>
      </c>
      <c r="B939" s="44" t="s">
        <v>2851</v>
      </c>
      <c r="C939" s="44" t="s">
        <v>2852</v>
      </c>
      <c r="D939" s="44" t="s">
        <v>33</v>
      </c>
      <c r="E939" s="45" t="b">
        <f aca="false">FALSE()</f>
        <v>0</v>
      </c>
      <c r="F939" s="43" t="s">
        <v>40</v>
      </c>
      <c r="G939" s="43" t="n">
        <v>938</v>
      </c>
      <c r="H939" s="44" t="s">
        <v>2853</v>
      </c>
      <c r="I939" s="44" t="s">
        <v>36</v>
      </c>
      <c r="J939" s="44" t="s">
        <v>47</v>
      </c>
      <c r="K939" s="46" t="n">
        <f aca="false">IF(E939=TRUE(),1,0)</f>
        <v>0</v>
      </c>
      <c r="L939" s="44"/>
    </row>
    <row r="940" customFormat="false" ht="15" hidden="false" customHeight="true" outlineLevel="0" collapsed="false">
      <c r="A940" s="38" t="n">
        <v>939</v>
      </c>
      <c r="B940" s="39" t="s">
        <v>2854</v>
      </c>
      <c r="C940" s="39" t="s">
        <v>2855</v>
      </c>
      <c r="D940" s="39" t="s">
        <v>37</v>
      </c>
      <c r="E940" s="40" t="b">
        <f aca="false">FALSE()</f>
        <v>0</v>
      </c>
      <c r="F940" s="38" t="s">
        <v>44</v>
      </c>
      <c r="G940" s="38" t="n">
        <v>939</v>
      </c>
      <c r="H940" s="39" t="s">
        <v>2856</v>
      </c>
      <c r="I940" s="39" t="s">
        <v>36</v>
      </c>
      <c r="J940" s="39" t="s">
        <v>37</v>
      </c>
      <c r="K940" s="41" t="n">
        <f aca="false">IF(E940=TRUE(),1,0)</f>
        <v>0</v>
      </c>
      <c r="L940" s="39"/>
    </row>
    <row r="941" customFormat="false" ht="15" hidden="false" customHeight="true" outlineLevel="0" collapsed="false">
      <c r="A941" s="43" t="n">
        <v>940</v>
      </c>
      <c r="B941" s="44" t="s">
        <v>2857</v>
      </c>
      <c r="C941" s="44" t="s">
        <v>2858</v>
      </c>
      <c r="D941" s="44" t="s">
        <v>37</v>
      </c>
      <c r="E941" s="45" t="b">
        <f aca="false">FALSE()</f>
        <v>0</v>
      </c>
      <c r="F941" s="43" t="s">
        <v>44</v>
      </c>
      <c r="G941" s="43" t="n">
        <v>940</v>
      </c>
      <c r="H941" s="44" t="s">
        <v>2859</v>
      </c>
      <c r="I941" s="44" t="s">
        <v>46</v>
      </c>
      <c r="J941" s="44" t="s">
        <v>47</v>
      </c>
      <c r="K941" s="46" t="n">
        <f aca="false">IF(E941=TRUE(),1,0)</f>
        <v>0</v>
      </c>
      <c r="L941" s="44"/>
    </row>
    <row r="942" customFormat="false" ht="15" hidden="false" customHeight="true" outlineLevel="0" collapsed="false">
      <c r="A942" s="38" t="n">
        <v>941</v>
      </c>
      <c r="B942" s="39" t="s">
        <v>2860</v>
      </c>
      <c r="C942" s="39" t="s">
        <v>2861</v>
      </c>
      <c r="D942" s="39" t="s">
        <v>47</v>
      </c>
      <c r="E942" s="40" t="b">
        <f aca="false">FALSE()</f>
        <v>0</v>
      </c>
      <c r="F942" s="38" t="s">
        <v>40</v>
      </c>
      <c r="G942" s="38" t="n">
        <v>941</v>
      </c>
      <c r="H942" s="39" t="s">
        <v>2862</v>
      </c>
      <c r="I942" s="39" t="s">
        <v>46</v>
      </c>
      <c r="J942" s="39" t="s">
        <v>37</v>
      </c>
      <c r="K942" s="41" t="n">
        <f aca="false">IF(E942=TRUE(),1,0)</f>
        <v>0</v>
      </c>
      <c r="L942" s="39"/>
    </row>
    <row r="943" customFormat="false" ht="15" hidden="false" customHeight="true" outlineLevel="0" collapsed="false">
      <c r="A943" s="43" t="n">
        <v>942</v>
      </c>
      <c r="B943" s="44" t="s">
        <v>2863</v>
      </c>
      <c r="C943" s="44" t="s">
        <v>2864</v>
      </c>
      <c r="D943" s="44" t="s">
        <v>37</v>
      </c>
      <c r="E943" s="45" t="b">
        <f aca="false">FALSE()</f>
        <v>0</v>
      </c>
      <c r="F943" s="43" t="s">
        <v>40</v>
      </c>
      <c r="G943" s="43" t="n">
        <v>942</v>
      </c>
      <c r="H943" s="44" t="s">
        <v>2865</v>
      </c>
      <c r="I943" s="44" t="s">
        <v>46</v>
      </c>
      <c r="J943" s="44" t="s">
        <v>47</v>
      </c>
      <c r="K943" s="46" t="n">
        <f aca="false">IF(E943=TRUE(),1,0)</f>
        <v>0</v>
      </c>
      <c r="L943" s="44"/>
    </row>
    <row r="944" customFormat="false" ht="15" hidden="false" customHeight="true" outlineLevel="0" collapsed="false">
      <c r="A944" s="38" t="n">
        <v>943</v>
      </c>
      <c r="B944" s="39" t="s">
        <v>2866</v>
      </c>
      <c r="C944" s="39" t="s">
        <v>2867</v>
      </c>
      <c r="D944" s="39" t="s">
        <v>33</v>
      </c>
      <c r="E944" s="40" t="b">
        <f aca="false">TRUE()</f>
        <v>1</v>
      </c>
      <c r="F944" s="38" t="s">
        <v>44</v>
      </c>
      <c r="G944" s="38" t="n">
        <v>943</v>
      </c>
      <c r="H944" s="39" t="s">
        <v>2868</v>
      </c>
      <c r="I944" s="39" t="s">
        <v>57</v>
      </c>
      <c r="J944" s="39" t="s">
        <v>47</v>
      </c>
      <c r="K944" s="41" t="n">
        <f aca="false">IF(E944=TRUE(),1,0)</f>
        <v>1</v>
      </c>
      <c r="L944" s="42" t="n">
        <v>46218.7248032407</v>
      </c>
    </row>
    <row r="945" customFormat="false" ht="15" hidden="false" customHeight="true" outlineLevel="0" collapsed="false">
      <c r="A945" s="43" t="n">
        <v>944</v>
      </c>
      <c r="B945" s="44" t="s">
        <v>2869</v>
      </c>
      <c r="C945" s="44" t="s">
        <v>2870</v>
      </c>
      <c r="D945" s="44" t="s">
        <v>47</v>
      </c>
      <c r="E945" s="45" t="b">
        <f aca="false">FALSE()</f>
        <v>0</v>
      </c>
      <c r="F945" s="43" t="s">
        <v>34</v>
      </c>
      <c r="G945" s="43" t="n">
        <v>944</v>
      </c>
      <c r="H945" s="44" t="s">
        <v>2871</v>
      </c>
      <c r="I945" s="44" t="s">
        <v>36</v>
      </c>
      <c r="J945" s="44" t="s">
        <v>33</v>
      </c>
      <c r="K945" s="46" t="n">
        <f aca="false">IF(E945=TRUE(),1,0)</f>
        <v>0</v>
      </c>
      <c r="L945" s="44"/>
    </row>
    <row r="946" customFormat="false" ht="15" hidden="false" customHeight="true" outlineLevel="0" collapsed="false">
      <c r="A946" s="38" t="n">
        <v>945</v>
      </c>
      <c r="B946" s="39" t="s">
        <v>2872</v>
      </c>
      <c r="C946" s="39" t="s">
        <v>2873</v>
      </c>
      <c r="D946" s="39" t="s">
        <v>37</v>
      </c>
      <c r="E946" s="40" t="b">
        <f aca="false">TRUE()</f>
        <v>1</v>
      </c>
      <c r="F946" s="38" t="s">
        <v>34</v>
      </c>
      <c r="G946" s="38" t="n">
        <v>945</v>
      </c>
      <c r="H946" s="39" t="s">
        <v>2874</v>
      </c>
      <c r="I946" s="39" t="s">
        <v>57</v>
      </c>
      <c r="J946" s="39" t="s">
        <v>47</v>
      </c>
      <c r="K946" s="41" t="n">
        <f aca="false">IF(E946=TRUE(),1,0)</f>
        <v>1</v>
      </c>
      <c r="L946" s="42" t="n">
        <v>46218.7287268519</v>
      </c>
    </row>
    <row r="947" customFormat="false" ht="15" hidden="false" customHeight="true" outlineLevel="0" collapsed="false">
      <c r="A947" s="43" t="n">
        <v>946</v>
      </c>
      <c r="B947" s="44" t="s">
        <v>2875</v>
      </c>
      <c r="C947" s="44" t="s">
        <v>2876</v>
      </c>
      <c r="D947" s="44" t="s">
        <v>37</v>
      </c>
      <c r="E947" s="45" t="b">
        <f aca="false">FALSE()</f>
        <v>0</v>
      </c>
      <c r="F947" s="43" t="s">
        <v>44</v>
      </c>
      <c r="G947" s="43" t="n">
        <v>946</v>
      </c>
      <c r="H947" s="44" t="s">
        <v>2877</v>
      </c>
      <c r="I947" s="44" t="s">
        <v>36</v>
      </c>
      <c r="J947" s="44" t="s">
        <v>37</v>
      </c>
      <c r="K947" s="46" t="n">
        <f aca="false">IF(E947=TRUE(),1,0)</f>
        <v>0</v>
      </c>
      <c r="L947" s="44"/>
    </row>
    <row r="948" customFormat="false" ht="15" hidden="false" customHeight="true" outlineLevel="0" collapsed="false">
      <c r="A948" s="38" t="n">
        <v>947</v>
      </c>
      <c r="B948" s="39" t="s">
        <v>2878</v>
      </c>
      <c r="C948" s="39" t="s">
        <v>2879</v>
      </c>
      <c r="D948" s="39" t="s">
        <v>47</v>
      </c>
      <c r="E948" s="40" t="b">
        <f aca="false">FALSE()</f>
        <v>0</v>
      </c>
      <c r="F948" s="38" t="s">
        <v>40</v>
      </c>
      <c r="G948" s="38" t="n">
        <v>947</v>
      </c>
      <c r="H948" s="39" t="s">
        <v>2880</v>
      </c>
      <c r="I948" s="39" t="s">
        <v>36</v>
      </c>
      <c r="J948" s="39" t="s">
        <v>47</v>
      </c>
      <c r="K948" s="41" t="n">
        <f aca="false">IF(E948=TRUE(),1,0)</f>
        <v>0</v>
      </c>
      <c r="L948" s="39"/>
    </row>
    <row r="949" customFormat="false" ht="15" hidden="false" customHeight="true" outlineLevel="0" collapsed="false">
      <c r="A949" s="43" t="n">
        <v>948</v>
      </c>
      <c r="B949" s="44" t="s">
        <v>2881</v>
      </c>
      <c r="C949" s="44" t="s">
        <v>2882</v>
      </c>
      <c r="D949" s="44" t="s">
        <v>33</v>
      </c>
      <c r="E949" s="45" t="b">
        <f aca="false">TRUE()</f>
        <v>1</v>
      </c>
      <c r="F949" s="43" t="s">
        <v>34</v>
      </c>
      <c r="G949" s="43" t="n">
        <v>948</v>
      </c>
      <c r="H949" s="44" t="s">
        <v>2883</v>
      </c>
      <c r="I949" s="44" t="s">
        <v>46</v>
      </c>
      <c r="J949" s="44" t="s">
        <v>33</v>
      </c>
      <c r="K949" s="46" t="n">
        <f aca="false">IF(E949=TRUE(),1,0)</f>
        <v>1</v>
      </c>
      <c r="L949" s="47" t="n">
        <v>46218.7290162037</v>
      </c>
    </row>
    <row r="950" customFormat="false" ht="15" hidden="false" customHeight="true" outlineLevel="0" collapsed="false">
      <c r="A950" s="38" t="n">
        <v>949</v>
      </c>
      <c r="B950" s="39" t="s">
        <v>2884</v>
      </c>
      <c r="C950" s="39" t="s">
        <v>2885</v>
      </c>
      <c r="D950" s="39" t="s">
        <v>47</v>
      </c>
      <c r="E950" s="40" t="b">
        <f aca="false">TRUE()</f>
        <v>1</v>
      </c>
      <c r="F950" s="38" t="s">
        <v>44</v>
      </c>
      <c r="G950" s="38" t="n">
        <v>949</v>
      </c>
      <c r="H950" s="39" t="s">
        <v>2886</v>
      </c>
      <c r="I950" s="39" t="s">
        <v>46</v>
      </c>
      <c r="J950" s="39" t="s">
        <v>47</v>
      </c>
      <c r="K950" s="41" t="n">
        <f aca="false">IF(E950=TRUE(),1,0)</f>
        <v>1</v>
      </c>
      <c r="L950" s="42" t="n">
        <v>46218.7295949074</v>
      </c>
    </row>
    <row r="951" customFormat="false" ht="15" hidden="false" customHeight="true" outlineLevel="0" collapsed="false">
      <c r="A951" s="43" t="n">
        <v>950</v>
      </c>
      <c r="B951" s="44" t="s">
        <v>2887</v>
      </c>
      <c r="C951" s="44" t="s">
        <v>2888</v>
      </c>
      <c r="D951" s="44" t="s">
        <v>33</v>
      </c>
      <c r="E951" s="45" t="b">
        <f aca="false">TRUE()</f>
        <v>1</v>
      </c>
      <c r="F951" s="43" t="s">
        <v>34</v>
      </c>
      <c r="G951" s="43" t="n">
        <v>950</v>
      </c>
      <c r="H951" s="44" t="s">
        <v>2889</v>
      </c>
      <c r="I951" s="44" t="s">
        <v>46</v>
      </c>
      <c r="J951" s="44" t="s">
        <v>37</v>
      </c>
      <c r="K951" s="46" t="n">
        <f aca="false">IF(E951=TRUE(),1,0)</f>
        <v>1</v>
      </c>
      <c r="L951" s="47" t="n">
        <v>46218.730787037</v>
      </c>
    </row>
    <row r="952" customFormat="false" ht="15" hidden="false" customHeight="true" outlineLevel="0" collapsed="false">
      <c r="A952" s="38" t="n">
        <v>951</v>
      </c>
      <c r="B952" s="39" t="s">
        <v>2890</v>
      </c>
      <c r="C952" s="39" t="s">
        <v>2891</v>
      </c>
      <c r="D952" s="39" t="s">
        <v>37</v>
      </c>
      <c r="E952" s="40" t="b">
        <f aca="false">FALSE()</f>
        <v>0</v>
      </c>
      <c r="F952" s="38" t="s">
        <v>34</v>
      </c>
      <c r="G952" s="38" t="n">
        <v>951</v>
      </c>
      <c r="H952" s="39" t="s">
        <v>2892</v>
      </c>
      <c r="I952" s="39" t="s">
        <v>36</v>
      </c>
      <c r="J952" s="39" t="s">
        <v>33</v>
      </c>
      <c r="K952" s="41" t="n">
        <f aca="false">IF(E952=TRUE(),1,0)</f>
        <v>0</v>
      </c>
      <c r="L952" s="39"/>
    </row>
    <row r="953" customFormat="false" ht="15" hidden="false" customHeight="true" outlineLevel="0" collapsed="false">
      <c r="A953" s="43" t="n">
        <v>952</v>
      </c>
      <c r="B953" s="44" t="s">
        <v>2893</v>
      </c>
      <c r="C953" s="44" t="s">
        <v>2894</v>
      </c>
      <c r="D953" s="44" t="s">
        <v>37</v>
      </c>
      <c r="E953" s="45" t="b">
        <f aca="false">TRUE()</f>
        <v>1</v>
      </c>
      <c r="F953" s="43" t="s">
        <v>40</v>
      </c>
      <c r="G953" s="43" t="n">
        <v>952</v>
      </c>
      <c r="H953" s="44" t="s">
        <v>2895</v>
      </c>
      <c r="I953" s="44" t="s">
        <v>36</v>
      </c>
      <c r="J953" s="44" t="s">
        <v>47</v>
      </c>
      <c r="K953" s="46" t="n">
        <f aca="false">IF(E953=TRUE(),1,0)</f>
        <v>1</v>
      </c>
      <c r="L953" s="47" t="n">
        <v>46218.7309837963</v>
      </c>
    </row>
    <row r="954" customFormat="false" ht="15" hidden="false" customHeight="true" outlineLevel="0" collapsed="false">
      <c r="A954" s="38" t="n">
        <v>953</v>
      </c>
      <c r="B954" s="39" t="s">
        <v>2896</v>
      </c>
      <c r="C954" s="39" t="s">
        <v>2897</v>
      </c>
      <c r="D954" s="39" t="s">
        <v>47</v>
      </c>
      <c r="E954" s="40" t="b">
        <f aca="false">TRUE()</f>
        <v>1</v>
      </c>
      <c r="F954" s="38" t="s">
        <v>44</v>
      </c>
      <c r="G954" s="38" t="n">
        <v>953</v>
      </c>
      <c r="H954" s="39" t="s">
        <v>2898</v>
      </c>
      <c r="I954" s="39" t="s">
        <v>46</v>
      </c>
      <c r="J954" s="39" t="s">
        <v>47</v>
      </c>
      <c r="K954" s="41" t="n">
        <f aca="false">IF(E954=TRUE(),1,0)</f>
        <v>1</v>
      </c>
      <c r="L954" s="42" t="n">
        <v>46218.7315856482</v>
      </c>
    </row>
    <row r="955" customFormat="false" ht="15" hidden="false" customHeight="true" outlineLevel="0" collapsed="false">
      <c r="A955" s="43" t="n">
        <v>954</v>
      </c>
      <c r="B955" s="44" t="s">
        <v>2899</v>
      </c>
      <c r="C955" s="44" t="s">
        <v>2900</v>
      </c>
      <c r="D955" s="44" t="s">
        <v>33</v>
      </c>
      <c r="E955" s="45" t="b">
        <f aca="false">FALSE()</f>
        <v>0</v>
      </c>
      <c r="F955" s="43" t="s">
        <v>34</v>
      </c>
      <c r="G955" s="43" t="n">
        <v>954</v>
      </c>
      <c r="H955" s="44" t="s">
        <v>2901</v>
      </c>
      <c r="I955" s="44" t="s">
        <v>46</v>
      </c>
      <c r="J955" s="44" t="s">
        <v>37</v>
      </c>
      <c r="K955" s="46" t="n">
        <f aca="false">IF(E955=TRUE(),1,0)</f>
        <v>0</v>
      </c>
      <c r="L955" s="44"/>
    </row>
    <row r="956" customFormat="false" ht="15" hidden="false" customHeight="true" outlineLevel="0" collapsed="false">
      <c r="A956" s="38" t="n">
        <v>955</v>
      </c>
      <c r="B956" s="39" t="s">
        <v>2902</v>
      </c>
      <c r="C956" s="39" t="s">
        <v>2903</v>
      </c>
      <c r="D956" s="39" t="s">
        <v>33</v>
      </c>
      <c r="E956" s="40" t="b">
        <f aca="false">FALSE()</f>
        <v>0</v>
      </c>
      <c r="F956" s="38" t="s">
        <v>44</v>
      </c>
      <c r="G956" s="38" t="n">
        <v>955</v>
      </c>
      <c r="H956" s="39" t="s">
        <v>2904</v>
      </c>
      <c r="I956" s="39" t="s">
        <v>36</v>
      </c>
      <c r="J956" s="39" t="s">
        <v>37</v>
      </c>
      <c r="K956" s="41" t="n">
        <f aca="false">IF(E956=TRUE(),1,0)</f>
        <v>0</v>
      </c>
      <c r="L956" s="39"/>
    </row>
    <row r="957" customFormat="false" ht="15" hidden="false" customHeight="true" outlineLevel="0" collapsed="false">
      <c r="A957" s="43" t="n">
        <v>956</v>
      </c>
      <c r="B957" s="44" t="s">
        <v>2905</v>
      </c>
      <c r="C957" s="44" t="s">
        <v>2906</v>
      </c>
      <c r="D957" s="44" t="s">
        <v>47</v>
      </c>
      <c r="E957" s="45" t="b">
        <f aca="false">FALSE()</f>
        <v>0</v>
      </c>
      <c r="F957" s="43" t="s">
        <v>40</v>
      </c>
      <c r="G957" s="43" t="n">
        <v>956</v>
      </c>
      <c r="H957" s="44" t="s">
        <v>2907</v>
      </c>
      <c r="I957" s="44" t="s">
        <v>46</v>
      </c>
      <c r="J957" s="44" t="s">
        <v>37</v>
      </c>
      <c r="K957" s="46" t="n">
        <f aca="false">IF(E957=TRUE(),1,0)</f>
        <v>0</v>
      </c>
      <c r="L957" s="44"/>
    </row>
    <row r="958" customFormat="false" ht="15" hidden="false" customHeight="true" outlineLevel="0" collapsed="false">
      <c r="A958" s="38" t="n">
        <v>957</v>
      </c>
      <c r="B958" s="39" t="s">
        <v>2908</v>
      </c>
      <c r="C958" s="39" t="s">
        <v>2909</v>
      </c>
      <c r="D958" s="39" t="s">
        <v>47</v>
      </c>
      <c r="E958" s="40" t="b">
        <f aca="false">TRUE()</f>
        <v>1</v>
      </c>
      <c r="F958" s="38" t="s">
        <v>44</v>
      </c>
      <c r="G958" s="38" t="n">
        <v>957</v>
      </c>
      <c r="H958" s="39" t="s">
        <v>2910</v>
      </c>
      <c r="I958" s="39" t="s">
        <v>46</v>
      </c>
      <c r="J958" s="39" t="s">
        <v>37</v>
      </c>
      <c r="K958" s="41" t="n">
        <f aca="false">IF(E958=TRUE(),1,0)</f>
        <v>1</v>
      </c>
      <c r="L958" s="42" t="n">
        <v>46218.7320486111</v>
      </c>
    </row>
    <row r="959" customFormat="false" ht="15" hidden="false" customHeight="true" outlineLevel="0" collapsed="false">
      <c r="A959" s="43" t="n">
        <v>958</v>
      </c>
      <c r="B959" s="44" t="s">
        <v>2911</v>
      </c>
      <c r="C959" s="44" t="s">
        <v>2912</v>
      </c>
      <c r="D959" s="44" t="s">
        <v>33</v>
      </c>
      <c r="E959" s="45" t="b">
        <f aca="false">TRUE()</f>
        <v>1</v>
      </c>
      <c r="F959" s="43" t="s">
        <v>44</v>
      </c>
      <c r="G959" s="43" t="n">
        <v>958</v>
      </c>
      <c r="H959" s="44" t="s">
        <v>2913</v>
      </c>
      <c r="I959" s="44" t="s">
        <v>46</v>
      </c>
      <c r="J959" s="44" t="s">
        <v>47</v>
      </c>
      <c r="K959" s="46" t="n">
        <f aca="false">IF(E959=TRUE(),1,0)</f>
        <v>1</v>
      </c>
      <c r="L959" s="47" t="n">
        <v>46218.7335069445</v>
      </c>
    </row>
    <row r="960" customFormat="false" ht="15" hidden="false" customHeight="true" outlineLevel="0" collapsed="false">
      <c r="A960" s="38" t="n">
        <v>959</v>
      </c>
      <c r="B960" s="39" t="s">
        <v>2914</v>
      </c>
      <c r="C960" s="39" t="s">
        <v>2915</v>
      </c>
      <c r="D960" s="39" t="s">
        <v>47</v>
      </c>
      <c r="E960" s="40" t="b">
        <f aca="false">FALSE()</f>
        <v>0</v>
      </c>
      <c r="F960" s="38" t="s">
        <v>40</v>
      </c>
      <c r="G960" s="38" t="n">
        <v>959</v>
      </c>
      <c r="H960" s="39" t="s">
        <v>2916</v>
      </c>
      <c r="I960" s="39" t="s">
        <v>36</v>
      </c>
      <c r="J960" s="39" t="s">
        <v>33</v>
      </c>
      <c r="K960" s="41" t="n">
        <f aca="false">IF(E960=TRUE(),1,0)</f>
        <v>0</v>
      </c>
      <c r="L960" s="39"/>
    </row>
    <row r="961" customFormat="false" ht="15" hidden="false" customHeight="true" outlineLevel="0" collapsed="false">
      <c r="A961" s="43" t="n">
        <v>960</v>
      </c>
      <c r="B961" s="44" t="s">
        <v>2917</v>
      </c>
      <c r="C961" s="44" t="s">
        <v>2918</v>
      </c>
      <c r="D961" s="44" t="s">
        <v>33</v>
      </c>
      <c r="E961" s="45" t="b">
        <f aca="false">FALSE()</f>
        <v>0</v>
      </c>
      <c r="F961" s="43" t="s">
        <v>40</v>
      </c>
      <c r="G961" s="43" t="n">
        <v>960</v>
      </c>
      <c r="H961" s="44" t="s">
        <v>2919</v>
      </c>
      <c r="I961" s="44" t="s">
        <v>46</v>
      </c>
      <c r="J961" s="44" t="s">
        <v>33</v>
      </c>
      <c r="K961" s="46" t="n">
        <f aca="false">IF(E961=TRUE(),1,0)</f>
        <v>0</v>
      </c>
      <c r="L961" s="44"/>
    </row>
    <row r="962" customFormat="false" ht="15" hidden="false" customHeight="true" outlineLevel="0" collapsed="false">
      <c r="A962" s="38" t="n">
        <v>961</v>
      </c>
      <c r="B962" s="39" t="s">
        <v>2920</v>
      </c>
      <c r="C962" s="39" t="s">
        <v>2921</v>
      </c>
      <c r="D962" s="39" t="s">
        <v>37</v>
      </c>
      <c r="E962" s="40" t="b">
        <f aca="false">FALSE()</f>
        <v>0</v>
      </c>
      <c r="F962" s="38" t="s">
        <v>34</v>
      </c>
      <c r="G962" s="38" t="n">
        <v>961</v>
      </c>
      <c r="H962" s="39" t="s">
        <v>2922</v>
      </c>
      <c r="I962" s="39" t="s">
        <v>57</v>
      </c>
      <c r="J962" s="39" t="s">
        <v>37</v>
      </c>
      <c r="K962" s="41" t="n">
        <f aca="false">IF(E962=TRUE(),1,0)</f>
        <v>0</v>
      </c>
      <c r="L962" s="39"/>
    </row>
    <row r="963" customFormat="false" ht="15" hidden="false" customHeight="true" outlineLevel="0" collapsed="false">
      <c r="A963" s="43" t="n">
        <v>962</v>
      </c>
      <c r="B963" s="44" t="s">
        <v>2923</v>
      </c>
      <c r="C963" s="44" t="s">
        <v>2924</v>
      </c>
      <c r="D963" s="44" t="s">
        <v>33</v>
      </c>
      <c r="E963" s="45" t="b">
        <f aca="false">FALSE()</f>
        <v>0</v>
      </c>
      <c r="F963" s="43" t="s">
        <v>44</v>
      </c>
      <c r="G963" s="43" t="n">
        <v>962</v>
      </c>
      <c r="H963" s="44" t="s">
        <v>2925</v>
      </c>
      <c r="I963" s="44" t="s">
        <v>57</v>
      </c>
      <c r="J963" s="44" t="s">
        <v>47</v>
      </c>
      <c r="K963" s="46" t="n">
        <f aca="false">IF(E963=TRUE(),1,0)</f>
        <v>0</v>
      </c>
      <c r="L963" s="44"/>
    </row>
    <row r="964" customFormat="false" ht="15" hidden="false" customHeight="true" outlineLevel="0" collapsed="false">
      <c r="A964" s="38" t="n">
        <v>963</v>
      </c>
      <c r="B964" s="39" t="s">
        <v>2926</v>
      </c>
      <c r="C964" s="39" t="s">
        <v>2927</v>
      </c>
      <c r="D964" s="39" t="s">
        <v>47</v>
      </c>
      <c r="E964" s="40" t="b">
        <f aca="false">FALSE()</f>
        <v>0</v>
      </c>
      <c r="F964" s="38" t="s">
        <v>44</v>
      </c>
      <c r="G964" s="38" t="n">
        <v>963</v>
      </c>
      <c r="H964" s="39" t="s">
        <v>2928</v>
      </c>
      <c r="I964" s="39" t="s">
        <v>46</v>
      </c>
      <c r="J964" s="39" t="s">
        <v>47</v>
      </c>
      <c r="K964" s="41" t="n">
        <f aca="false">IF(E964=TRUE(),1,0)</f>
        <v>0</v>
      </c>
      <c r="L964" s="39"/>
    </row>
    <row r="965" customFormat="false" ht="15" hidden="false" customHeight="true" outlineLevel="0" collapsed="false">
      <c r="A965" s="43" t="n">
        <v>964</v>
      </c>
      <c r="B965" s="44" t="s">
        <v>2929</v>
      </c>
      <c r="C965" s="44" t="s">
        <v>2930</v>
      </c>
      <c r="D965" s="44" t="s">
        <v>47</v>
      </c>
      <c r="E965" s="45" t="b">
        <f aca="false">TRUE()</f>
        <v>1</v>
      </c>
      <c r="F965" s="43" t="s">
        <v>40</v>
      </c>
      <c r="G965" s="43" t="n">
        <v>964</v>
      </c>
      <c r="H965" s="44" t="s">
        <v>2931</v>
      </c>
      <c r="I965" s="44" t="s">
        <v>57</v>
      </c>
      <c r="J965" s="44" t="s">
        <v>33</v>
      </c>
      <c r="K965" s="46" t="n">
        <f aca="false">IF(E965=TRUE(),1,0)</f>
        <v>1</v>
      </c>
      <c r="L965" s="47" t="n">
        <v>46218.7342824074</v>
      </c>
    </row>
    <row r="966" customFormat="false" ht="15" hidden="false" customHeight="true" outlineLevel="0" collapsed="false">
      <c r="A966" s="38" t="n">
        <v>965</v>
      </c>
      <c r="B966" s="39" t="s">
        <v>2932</v>
      </c>
      <c r="C966" s="39" t="s">
        <v>2933</v>
      </c>
      <c r="D966" s="39" t="s">
        <v>47</v>
      </c>
      <c r="E966" s="40" t="b">
        <f aca="false">FALSE()</f>
        <v>0</v>
      </c>
      <c r="F966" s="38" t="s">
        <v>34</v>
      </c>
      <c r="G966" s="38" t="n">
        <v>965</v>
      </c>
      <c r="H966" s="39" t="s">
        <v>2934</v>
      </c>
      <c r="I966" s="39" t="s">
        <v>57</v>
      </c>
      <c r="J966" s="39" t="s">
        <v>33</v>
      </c>
      <c r="K966" s="41" t="n">
        <f aca="false">IF(E966=TRUE(),1,0)</f>
        <v>0</v>
      </c>
      <c r="L966" s="39"/>
    </row>
    <row r="967" customFormat="false" ht="15" hidden="false" customHeight="true" outlineLevel="0" collapsed="false">
      <c r="A967" s="43" t="n">
        <v>966</v>
      </c>
      <c r="B967" s="44" t="s">
        <v>2935</v>
      </c>
      <c r="C967" s="44" t="s">
        <v>2936</v>
      </c>
      <c r="D967" s="44" t="s">
        <v>37</v>
      </c>
      <c r="E967" s="45" t="b">
        <f aca="false">FALSE()</f>
        <v>0</v>
      </c>
      <c r="F967" s="43" t="s">
        <v>44</v>
      </c>
      <c r="G967" s="43" t="n">
        <v>966</v>
      </c>
      <c r="H967" s="44" t="s">
        <v>2937</v>
      </c>
      <c r="I967" s="44" t="s">
        <v>36</v>
      </c>
      <c r="J967" s="44" t="s">
        <v>33</v>
      </c>
      <c r="K967" s="46" t="n">
        <f aca="false">IF(E967=TRUE(),1,0)</f>
        <v>0</v>
      </c>
      <c r="L967" s="44"/>
    </row>
    <row r="968" customFormat="false" ht="15" hidden="false" customHeight="true" outlineLevel="0" collapsed="false">
      <c r="A968" s="38" t="n">
        <v>967</v>
      </c>
      <c r="B968" s="39" t="s">
        <v>2938</v>
      </c>
      <c r="C968" s="39" t="s">
        <v>2939</v>
      </c>
      <c r="D968" s="39" t="s">
        <v>33</v>
      </c>
      <c r="E968" s="40" t="b">
        <f aca="false">TRUE()</f>
        <v>1</v>
      </c>
      <c r="F968" s="38" t="s">
        <v>34</v>
      </c>
      <c r="G968" s="38" t="n">
        <v>967</v>
      </c>
      <c r="H968" s="39" t="s">
        <v>2940</v>
      </c>
      <c r="I968" s="39" t="s">
        <v>57</v>
      </c>
      <c r="J968" s="39" t="s">
        <v>33</v>
      </c>
      <c r="K968" s="41" t="n">
        <f aca="false">IF(E968=TRUE(),1,0)</f>
        <v>1</v>
      </c>
      <c r="L968" s="42" t="n">
        <v>46218.7343865741</v>
      </c>
    </row>
    <row r="969" customFormat="false" ht="15" hidden="false" customHeight="true" outlineLevel="0" collapsed="false">
      <c r="A969" s="43" t="n">
        <v>968</v>
      </c>
      <c r="B969" s="44" t="s">
        <v>2941</v>
      </c>
      <c r="C969" s="44" t="s">
        <v>2942</v>
      </c>
      <c r="D969" s="44" t="s">
        <v>47</v>
      </c>
      <c r="E969" s="45" t="b">
        <f aca="false">TRUE()</f>
        <v>1</v>
      </c>
      <c r="F969" s="43" t="s">
        <v>40</v>
      </c>
      <c r="G969" s="43" t="n">
        <v>968</v>
      </c>
      <c r="H969" s="44" t="s">
        <v>2943</v>
      </c>
      <c r="I969" s="44" t="s">
        <v>36</v>
      </c>
      <c r="J969" s="44" t="s">
        <v>33</v>
      </c>
      <c r="K969" s="46" t="n">
        <f aca="false">IF(E969=TRUE(),1,0)</f>
        <v>1</v>
      </c>
      <c r="L969" s="47" t="n">
        <v>46218.7347685185</v>
      </c>
    </row>
    <row r="970" customFormat="false" ht="15" hidden="false" customHeight="true" outlineLevel="0" collapsed="false">
      <c r="A970" s="38" t="n">
        <v>969</v>
      </c>
      <c r="B970" s="39" t="s">
        <v>2944</v>
      </c>
      <c r="C970" s="39" t="s">
        <v>2945</v>
      </c>
      <c r="D970" s="39" t="s">
        <v>37</v>
      </c>
      <c r="E970" s="40" t="b">
        <f aca="false">FALSE()</f>
        <v>0</v>
      </c>
      <c r="F970" s="38" t="s">
        <v>44</v>
      </c>
      <c r="G970" s="38" t="n">
        <v>969</v>
      </c>
      <c r="H970" s="39" t="s">
        <v>2946</v>
      </c>
      <c r="I970" s="39" t="s">
        <v>57</v>
      </c>
      <c r="J970" s="39" t="s">
        <v>47</v>
      </c>
      <c r="K970" s="41" t="n">
        <f aca="false">IF(E970=TRUE(),1,0)</f>
        <v>0</v>
      </c>
      <c r="L970" s="39"/>
    </row>
    <row r="971" customFormat="false" ht="15" hidden="false" customHeight="true" outlineLevel="0" collapsed="false">
      <c r="A971" s="43" t="n">
        <v>970</v>
      </c>
      <c r="B971" s="44" t="s">
        <v>2947</v>
      </c>
      <c r="C971" s="44" t="s">
        <v>2948</v>
      </c>
      <c r="D971" s="44" t="s">
        <v>47</v>
      </c>
      <c r="E971" s="45" t="b">
        <f aca="false">FALSE()</f>
        <v>0</v>
      </c>
      <c r="F971" s="43" t="s">
        <v>34</v>
      </c>
      <c r="G971" s="43" t="n">
        <v>970</v>
      </c>
      <c r="H971" s="44" t="s">
        <v>2949</v>
      </c>
      <c r="I971" s="44" t="s">
        <v>57</v>
      </c>
      <c r="J971" s="44" t="s">
        <v>47</v>
      </c>
      <c r="K971" s="46" t="n">
        <f aca="false">IF(E971=TRUE(),1,0)</f>
        <v>0</v>
      </c>
      <c r="L971" s="44"/>
    </row>
    <row r="972" customFormat="false" ht="15" hidden="false" customHeight="true" outlineLevel="0" collapsed="false">
      <c r="A972" s="38" t="n">
        <v>971</v>
      </c>
      <c r="B972" s="39" t="s">
        <v>2950</v>
      </c>
      <c r="C972" s="39" t="s">
        <v>2951</v>
      </c>
      <c r="D972" s="39" t="s">
        <v>47</v>
      </c>
      <c r="E972" s="40" t="b">
        <f aca="false">FALSE()</f>
        <v>0</v>
      </c>
      <c r="F972" s="38" t="s">
        <v>40</v>
      </c>
      <c r="G972" s="38" t="n">
        <v>971</v>
      </c>
      <c r="H972" s="39" t="s">
        <v>2952</v>
      </c>
      <c r="I972" s="39" t="s">
        <v>36</v>
      </c>
      <c r="J972" s="39" t="s">
        <v>33</v>
      </c>
      <c r="K972" s="41" t="n">
        <f aca="false">IF(E972=TRUE(),1,0)</f>
        <v>0</v>
      </c>
      <c r="L972" s="39"/>
    </row>
    <row r="973" customFormat="false" ht="15" hidden="false" customHeight="true" outlineLevel="0" collapsed="false">
      <c r="A973" s="43" t="n">
        <v>972</v>
      </c>
      <c r="B973" s="44" t="s">
        <v>2953</v>
      </c>
      <c r="C973" s="44" t="s">
        <v>2954</v>
      </c>
      <c r="D973" s="44" t="s">
        <v>33</v>
      </c>
      <c r="E973" s="45" t="b">
        <f aca="false">TRUE()</f>
        <v>1</v>
      </c>
      <c r="F973" s="43" t="s">
        <v>44</v>
      </c>
      <c r="G973" s="43" t="n">
        <v>972</v>
      </c>
      <c r="H973" s="44" t="s">
        <v>2955</v>
      </c>
      <c r="I973" s="44" t="s">
        <v>36</v>
      </c>
      <c r="J973" s="44" t="s">
        <v>37</v>
      </c>
      <c r="K973" s="46" t="n">
        <f aca="false">IF(E973=TRUE(),1,0)</f>
        <v>1</v>
      </c>
      <c r="L973" s="47" t="n">
        <v>46218.7350810185</v>
      </c>
    </row>
    <row r="974" customFormat="false" ht="15" hidden="false" customHeight="true" outlineLevel="0" collapsed="false">
      <c r="A974" s="38" t="n">
        <v>973</v>
      </c>
      <c r="B974" s="39" t="s">
        <v>2956</v>
      </c>
      <c r="C974" s="39" t="s">
        <v>2957</v>
      </c>
      <c r="D974" s="39" t="s">
        <v>33</v>
      </c>
      <c r="E974" s="40" t="b">
        <f aca="false">FALSE()</f>
        <v>0</v>
      </c>
      <c r="F974" s="38" t="s">
        <v>34</v>
      </c>
      <c r="G974" s="38" t="n">
        <v>973</v>
      </c>
      <c r="H974" s="39" t="s">
        <v>2958</v>
      </c>
      <c r="I974" s="39" t="s">
        <v>46</v>
      </c>
      <c r="J974" s="39" t="s">
        <v>37</v>
      </c>
      <c r="K974" s="41" t="n">
        <f aca="false">IF(E974=TRUE(),1,0)</f>
        <v>0</v>
      </c>
      <c r="L974" s="39"/>
    </row>
    <row r="975" customFormat="false" ht="15" hidden="false" customHeight="true" outlineLevel="0" collapsed="false">
      <c r="A975" s="43" t="n">
        <v>974</v>
      </c>
      <c r="B975" s="44" t="s">
        <v>2959</v>
      </c>
      <c r="C975" s="44" t="s">
        <v>2960</v>
      </c>
      <c r="D975" s="44" t="s">
        <v>37</v>
      </c>
      <c r="E975" s="45" t="b">
        <f aca="false">FALSE()</f>
        <v>0</v>
      </c>
      <c r="F975" s="43" t="s">
        <v>44</v>
      </c>
      <c r="G975" s="43" t="n">
        <v>974</v>
      </c>
      <c r="H975" s="44" t="s">
        <v>2961</v>
      </c>
      <c r="I975" s="44" t="s">
        <v>57</v>
      </c>
      <c r="J975" s="44" t="s">
        <v>37</v>
      </c>
      <c r="K975" s="46" t="n">
        <f aca="false">IF(E975=TRUE(),1,0)</f>
        <v>0</v>
      </c>
      <c r="L975" s="44"/>
    </row>
    <row r="976" customFormat="false" ht="15" hidden="false" customHeight="true" outlineLevel="0" collapsed="false">
      <c r="A976" s="38" t="n">
        <v>975</v>
      </c>
      <c r="B976" s="39" t="s">
        <v>2962</v>
      </c>
      <c r="C976" s="39" t="s">
        <v>2963</v>
      </c>
      <c r="D976" s="39" t="s">
        <v>33</v>
      </c>
      <c r="E976" s="40" t="b">
        <f aca="false">TRUE()</f>
        <v>1</v>
      </c>
      <c r="F976" s="38" t="s">
        <v>34</v>
      </c>
      <c r="G976" s="38" t="n">
        <v>975</v>
      </c>
      <c r="H976" s="39" t="s">
        <v>2964</v>
      </c>
      <c r="I976" s="39" t="s">
        <v>36</v>
      </c>
      <c r="J976" s="39" t="s">
        <v>33</v>
      </c>
      <c r="K976" s="41" t="n">
        <f aca="false">IF(E976=TRUE(),1,0)</f>
        <v>1</v>
      </c>
      <c r="L976" s="42" t="n">
        <v>46218.7379050926</v>
      </c>
    </row>
    <row r="977" customFormat="false" ht="15" hidden="false" customHeight="true" outlineLevel="0" collapsed="false">
      <c r="A977" s="43" t="n">
        <v>976</v>
      </c>
      <c r="B977" s="44" t="s">
        <v>2965</v>
      </c>
      <c r="C977" s="44" t="s">
        <v>2966</v>
      </c>
      <c r="D977" s="44" t="s">
        <v>33</v>
      </c>
      <c r="E977" s="45" t="b">
        <f aca="false">TRUE()</f>
        <v>1</v>
      </c>
      <c r="F977" s="43" t="s">
        <v>34</v>
      </c>
      <c r="G977" s="43" t="n">
        <v>976</v>
      </c>
      <c r="H977" s="44" t="s">
        <v>2967</v>
      </c>
      <c r="I977" s="44" t="s">
        <v>36</v>
      </c>
      <c r="J977" s="44" t="s">
        <v>37</v>
      </c>
      <c r="K977" s="46" t="n">
        <f aca="false">IF(E977=TRUE(),1,0)</f>
        <v>1</v>
      </c>
      <c r="L977" s="47" t="n">
        <v>46218.7380092593</v>
      </c>
    </row>
    <row r="978" customFormat="false" ht="15" hidden="false" customHeight="true" outlineLevel="0" collapsed="false">
      <c r="A978" s="38" t="n">
        <v>977</v>
      </c>
      <c r="B978" s="39" t="s">
        <v>2968</v>
      </c>
      <c r="C978" s="39" t="s">
        <v>2969</v>
      </c>
      <c r="D978" s="39" t="s">
        <v>47</v>
      </c>
      <c r="E978" s="40" t="b">
        <f aca="false">FALSE()</f>
        <v>0</v>
      </c>
      <c r="F978" s="38" t="s">
        <v>40</v>
      </c>
      <c r="G978" s="38" t="n">
        <v>977</v>
      </c>
      <c r="H978" s="39" t="s">
        <v>2970</v>
      </c>
      <c r="I978" s="39" t="s">
        <v>57</v>
      </c>
      <c r="J978" s="39" t="s">
        <v>47</v>
      </c>
      <c r="K978" s="41" t="n">
        <f aca="false">IF(E978=TRUE(),1,0)</f>
        <v>0</v>
      </c>
      <c r="L978" s="39"/>
    </row>
    <row r="979" customFormat="false" ht="15" hidden="false" customHeight="true" outlineLevel="0" collapsed="false">
      <c r="A979" s="43" t="n">
        <v>978</v>
      </c>
      <c r="B979" s="44" t="s">
        <v>2971</v>
      </c>
      <c r="C979" s="44" t="s">
        <v>2972</v>
      </c>
      <c r="D979" s="44" t="s">
        <v>33</v>
      </c>
      <c r="E979" s="45" t="b">
        <f aca="false">FALSE()</f>
        <v>0</v>
      </c>
      <c r="F979" s="43" t="s">
        <v>34</v>
      </c>
      <c r="G979" s="43" t="n">
        <v>978</v>
      </c>
      <c r="H979" s="44" t="s">
        <v>2973</v>
      </c>
      <c r="I979" s="44" t="s">
        <v>57</v>
      </c>
      <c r="J979" s="44" t="s">
        <v>37</v>
      </c>
      <c r="K979" s="46" t="n">
        <f aca="false">IF(E979=TRUE(),1,0)</f>
        <v>0</v>
      </c>
      <c r="L979" s="44"/>
    </row>
    <row r="980" customFormat="false" ht="15" hidden="false" customHeight="true" outlineLevel="0" collapsed="false">
      <c r="A980" s="38" t="n">
        <v>979</v>
      </c>
      <c r="B980" s="39" t="s">
        <v>2974</v>
      </c>
      <c r="C980" s="39" t="s">
        <v>2975</v>
      </c>
      <c r="D980" s="39" t="s">
        <v>47</v>
      </c>
      <c r="E980" s="40" t="b">
        <f aca="false">FALSE()</f>
        <v>0</v>
      </c>
      <c r="F980" s="38" t="s">
        <v>44</v>
      </c>
      <c r="G980" s="38" t="n">
        <v>979</v>
      </c>
      <c r="H980" s="39" t="s">
        <v>2976</v>
      </c>
      <c r="I980" s="39" t="s">
        <v>36</v>
      </c>
      <c r="J980" s="39" t="s">
        <v>47</v>
      </c>
      <c r="K980" s="41" t="n">
        <f aca="false">IF(E980=TRUE(),1,0)</f>
        <v>0</v>
      </c>
      <c r="L980" s="39"/>
    </row>
    <row r="981" customFormat="false" ht="15" hidden="false" customHeight="true" outlineLevel="0" collapsed="false">
      <c r="A981" s="43" t="n">
        <v>980</v>
      </c>
      <c r="B981" s="44" t="s">
        <v>2977</v>
      </c>
      <c r="C981" s="44" t="s">
        <v>2978</v>
      </c>
      <c r="D981" s="44" t="s">
        <v>37</v>
      </c>
      <c r="E981" s="45" t="b">
        <f aca="false">TRUE()</f>
        <v>1</v>
      </c>
      <c r="F981" s="43" t="s">
        <v>44</v>
      </c>
      <c r="G981" s="43" t="n">
        <v>980</v>
      </c>
      <c r="H981" s="44" t="s">
        <v>2979</v>
      </c>
      <c r="I981" s="44" t="s">
        <v>36</v>
      </c>
      <c r="J981" s="44" t="s">
        <v>37</v>
      </c>
      <c r="K981" s="46" t="n">
        <f aca="false">IF(E981=TRUE(),1,0)</f>
        <v>1</v>
      </c>
      <c r="L981" s="47" t="n">
        <v>46218.7386342593</v>
      </c>
    </row>
    <row r="982" customFormat="false" ht="15" hidden="false" customHeight="true" outlineLevel="0" collapsed="false">
      <c r="A982" s="38" t="n">
        <v>981</v>
      </c>
      <c r="B982" s="39" t="s">
        <v>2980</v>
      </c>
      <c r="C982" s="39" t="s">
        <v>2981</v>
      </c>
      <c r="D982" s="39" t="s">
        <v>37</v>
      </c>
      <c r="E982" s="40" t="b">
        <f aca="false">FALSE()</f>
        <v>0</v>
      </c>
      <c r="F982" s="38" t="s">
        <v>44</v>
      </c>
      <c r="G982" s="38" t="n">
        <v>981</v>
      </c>
      <c r="H982" s="39" t="s">
        <v>2982</v>
      </c>
      <c r="I982" s="39" t="s">
        <v>57</v>
      </c>
      <c r="J982" s="39" t="s">
        <v>33</v>
      </c>
      <c r="K982" s="41" t="n">
        <f aca="false">IF(E982=TRUE(),1,0)</f>
        <v>0</v>
      </c>
      <c r="L982" s="39"/>
    </row>
    <row r="983" customFormat="false" ht="15" hidden="false" customHeight="true" outlineLevel="0" collapsed="false">
      <c r="A983" s="43" t="n">
        <v>982</v>
      </c>
      <c r="B983" s="44" t="s">
        <v>2983</v>
      </c>
      <c r="C983" s="44" t="s">
        <v>2984</v>
      </c>
      <c r="D983" s="44" t="s">
        <v>37</v>
      </c>
      <c r="E983" s="45" t="b">
        <f aca="false">FALSE()</f>
        <v>0</v>
      </c>
      <c r="F983" s="43" t="s">
        <v>34</v>
      </c>
      <c r="G983" s="43" t="n">
        <v>982</v>
      </c>
      <c r="H983" s="44" t="s">
        <v>2985</v>
      </c>
      <c r="I983" s="44" t="s">
        <v>36</v>
      </c>
      <c r="J983" s="44" t="s">
        <v>47</v>
      </c>
      <c r="K983" s="46" t="n">
        <f aca="false">IF(E983=TRUE(),1,0)</f>
        <v>0</v>
      </c>
      <c r="L983" s="44"/>
    </row>
    <row r="984" customFormat="false" ht="15" hidden="false" customHeight="true" outlineLevel="0" collapsed="false">
      <c r="A984" s="38" t="n">
        <v>983</v>
      </c>
      <c r="B984" s="39" t="s">
        <v>2986</v>
      </c>
      <c r="C984" s="39" t="s">
        <v>2987</v>
      </c>
      <c r="D984" s="39" t="s">
        <v>33</v>
      </c>
      <c r="E984" s="40" t="b">
        <f aca="false">TRUE()</f>
        <v>1</v>
      </c>
      <c r="F984" s="38" t="s">
        <v>40</v>
      </c>
      <c r="G984" s="38" t="n">
        <v>983</v>
      </c>
      <c r="H984" s="39" t="s">
        <v>2988</v>
      </c>
      <c r="I984" s="39" t="s">
        <v>36</v>
      </c>
      <c r="J984" s="39" t="s">
        <v>47</v>
      </c>
      <c r="K984" s="41" t="n">
        <f aca="false">IF(E984=TRUE(),1,0)</f>
        <v>1</v>
      </c>
      <c r="L984" s="42" t="n">
        <v>46218.7395601852</v>
      </c>
    </row>
    <row r="985" customFormat="false" ht="15" hidden="false" customHeight="true" outlineLevel="0" collapsed="false">
      <c r="A985" s="43" t="n">
        <v>984</v>
      </c>
      <c r="B985" s="44" t="s">
        <v>2989</v>
      </c>
      <c r="C985" s="44" t="s">
        <v>2990</v>
      </c>
      <c r="D985" s="44" t="s">
        <v>37</v>
      </c>
      <c r="E985" s="45" t="b">
        <f aca="false">FALSE()</f>
        <v>0</v>
      </c>
      <c r="F985" s="43" t="s">
        <v>40</v>
      </c>
      <c r="G985" s="43" t="n">
        <v>984</v>
      </c>
      <c r="H985" s="44" t="s">
        <v>2991</v>
      </c>
      <c r="I985" s="44" t="s">
        <v>46</v>
      </c>
      <c r="J985" s="44" t="s">
        <v>33</v>
      </c>
      <c r="K985" s="46" t="n">
        <f aca="false">IF(E985=TRUE(),1,0)</f>
        <v>0</v>
      </c>
      <c r="L985" s="44"/>
    </row>
    <row r="986" customFormat="false" ht="15" hidden="false" customHeight="true" outlineLevel="0" collapsed="false">
      <c r="A986" s="38" t="n">
        <v>985</v>
      </c>
      <c r="B986" s="39" t="s">
        <v>2992</v>
      </c>
      <c r="C986" s="39" t="s">
        <v>2993</v>
      </c>
      <c r="D986" s="39" t="s">
        <v>47</v>
      </c>
      <c r="E986" s="40" t="b">
        <f aca="false">TRUE()</f>
        <v>1</v>
      </c>
      <c r="F986" s="38" t="s">
        <v>40</v>
      </c>
      <c r="G986" s="38" t="n">
        <v>985</v>
      </c>
      <c r="H986" s="39" t="s">
        <v>2994</v>
      </c>
      <c r="I986" s="39" t="s">
        <v>36</v>
      </c>
      <c r="J986" s="39" t="s">
        <v>33</v>
      </c>
      <c r="K986" s="41" t="n">
        <f aca="false">IF(E986=TRUE(),1,0)</f>
        <v>1</v>
      </c>
      <c r="L986" s="42" t="n">
        <v>46218.7426157407</v>
      </c>
    </row>
    <row r="987" customFormat="false" ht="15" hidden="false" customHeight="true" outlineLevel="0" collapsed="false">
      <c r="A987" s="43" t="n">
        <v>986</v>
      </c>
      <c r="B987" s="44" t="s">
        <v>2995</v>
      </c>
      <c r="C987" s="44" t="s">
        <v>2996</v>
      </c>
      <c r="D987" s="44" t="s">
        <v>47</v>
      </c>
      <c r="E987" s="45" t="b">
        <f aca="false">TRUE()</f>
        <v>1</v>
      </c>
      <c r="F987" s="43" t="s">
        <v>34</v>
      </c>
      <c r="G987" s="43" t="n">
        <v>986</v>
      </c>
      <c r="H987" s="44" t="s">
        <v>2997</v>
      </c>
      <c r="I987" s="44" t="s">
        <v>46</v>
      </c>
      <c r="J987" s="44" t="s">
        <v>37</v>
      </c>
      <c r="K987" s="46" t="n">
        <f aca="false">IF(E987=TRUE(),1,0)</f>
        <v>1</v>
      </c>
      <c r="L987" s="47" t="n">
        <v>46218.7430092593</v>
      </c>
    </row>
    <row r="988" customFormat="false" ht="15" hidden="false" customHeight="true" outlineLevel="0" collapsed="false">
      <c r="A988" s="38" t="n">
        <v>987</v>
      </c>
      <c r="B988" s="39" t="s">
        <v>2998</v>
      </c>
      <c r="C988" s="39" t="s">
        <v>2999</v>
      </c>
      <c r="D988" s="39" t="s">
        <v>47</v>
      </c>
      <c r="E988" s="40" t="b">
        <f aca="false">TRUE()</f>
        <v>1</v>
      </c>
      <c r="F988" s="38" t="s">
        <v>40</v>
      </c>
      <c r="G988" s="38" t="n">
        <v>987</v>
      </c>
      <c r="H988" s="39" t="s">
        <v>3000</v>
      </c>
      <c r="I988" s="39" t="s">
        <v>57</v>
      </c>
      <c r="J988" s="39" t="s">
        <v>47</v>
      </c>
      <c r="K988" s="41" t="n">
        <f aca="false">IF(E988=TRUE(),1,0)</f>
        <v>1</v>
      </c>
      <c r="L988" s="42" t="n">
        <v>46218.7436574074</v>
      </c>
    </row>
    <row r="989" customFormat="false" ht="15" hidden="false" customHeight="true" outlineLevel="0" collapsed="false">
      <c r="A989" s="43" t="n">
        <v>988</v>
      </c>
      <c r="B989" s="44" t="s">
        <v>3001</v>
      </c>
      <c r="C989" s="44" t="s">
        <v>3002</v>
      </c>
      <c r="D989" s="44" t="s">
        <v>47</v>
      </c>
      <c r="E989" s="45" t="b">
        <f aca="false">FALSE()</f>
        <v>0</v>
      </c>
      <c r="F989" s="43" t="s">
        <v>40</v>
      </c>
      <c r="G989" s="43" t="n">
        <v>988</v>
      </c>
      <c r="H989" s="44" t="s">
        <v>3003</v>
      </c>
      <c r="I989" s="44" t="s">
        <v>57</v>
      </c>
      <c r="J989" s="44" t="s">
        <v>37</v>
      </c>
      <c r="K989" s="46" t="n">
        <f aca="false">IF(E989=TRUE(),1,0)</f>
        <v>0</v>
      </c>
      <c r="L989" s="44"/>
    </row>
    <row r="990" customFormat="false" ht="15" hidden="false" customHeight="true" outlineLevel="0" collapsed="false">
      <c r="A990" s="38" t="n">
        <v>989</v>
      </c>
      <c r="B990" s="39" t="s">
        <v>3004</v>
      </c>
      <c r="C990" s="39" t="s">
        <v>3005</v>
      </c>
      <c r="D990" s="39" t="s">
        <v>37</v>
      </c>
      <c r="E990" s="40" t="b">
        <f aca="false">FALSE()</f>
        <v>0</v>
      </c>
      <c r="F990" s="38" t="s">
        <v>40</v>
      </c>
      <c r="G990" s="38" t="n">
        <v>989</v>
      </c>
      <c r="H990" s="39" t="s">
        <v>3006</v>
      </c>
      <c r="I990" s="39" t="s">
        <v>36</v>
      </c>
      <c r="J990" s="39" t="s">
        <v>33</v>
      </c>
      <c r="K990" s="41" t="n">
        <f aca="false">IF(E990=TRUE(),1,0)</f>
        <v>0</v>
      </c>
      <c r="L990" s="39"/>
    </row>
    <row r="991" customFormat="false" ht="15" hidden="false" customHeight="true" outlineLevel="0" collapsed="false">
      <c r="A991" s="43" t="n">
        <v>990</v>
      </c>
      <c r="B991" s="44" t="s">
        <v>3007</v>
      </c>
      <c r="C991" s="44" t="s">
        <v>3008</v>
      </c>
      <c r="D991" s="44" t="s">
        <v>37</v>
      </c>
      <c r="E991" s="45" t="b">
        <f aca="false">FALSE()</f>
        <v>0</v>
      </c>
      <c r="F991" s="43" t="s">
        <v>44</v>
      </c>
      <c r="G991" s="43" t="n">
        <v>990</v>
      </c>
      <c r="H991" s="44" t="s">
        <v>3009</v>
      </c>
      <c r="I991" s="44" t="s">
        <v>46</v>
      </c>
      <c r="J991" s="44" t="s">
        <v>37</v>
      </c>
      <c r="K991" s="46" t="n">
        <f aca="false">IF(E991=TRUE(),1,0)</f>
        <v>0</v>
      </c>
      <c r="L991" s="44"/>
    </row>
    <row r="992" customFormat="false" ht="15" hidden="false" customHeight="true" outlineLevel="0" collapsed="false">
      <c r="A992" s="38" t="n">
        <v>991</v>
      </c>
      <c r="B992" s="39" t="s">
        <v>3010</v>
      </c>
      <c r="C992" s="39" t="s">
        <v>3011</v>
      </c>
      <c r="D992" s="39" t="s">
        <v>33</v>
      </c>
      <c r="E992" s="40" t="b">
        <f aca="false">TRUE()</f>
        <v>1</v>
      </c>
      <c r="F992" s="38" t="s">
        <v>40</v>
      </c>
      <c r="G992" s="38" t="n">
        <v>991</v>
      </c>
      <c r="H992" s="39" t="s">
        <v>3012</v>
      </c>
      <c r="I992" s="39" t="s">
        <v>57</v>
      </c>
      <c r="J992" s="39" t="s">
        <v>37</v>
      </c>
      <c r="K992" s="41" t="n">
        <f aca="false">IF(E992=TRUE(),1,0)</f>
        <v>1</v>
      </c>
      <c r="L992" s="42" t="n">
        <v>46218.7440509259</v>
      </c>
    </row>
    <row r="993" customFormat="false" ht="15" hidden="false" customHeight="true" outlineLevel="0" collapsed="false">
      <c r="A993" s="43" t="n">
        <v>992</v>
      </c>
      <c r="B993" s="44" t="s">
        <v>3013</v>
      </c>
      <c r="C993" s="44" t="s">
        <v>3014</v>
      </c>
      <c r="D993" s="44" t="s">
        <v>37</v>
      </c>
      <c r="E993" s="45" t="b">
        <f aca="false">TRUE()</f>
        <v>1</v>
      </c>
      <c r="F993" s="43" t="s">
        <v>44</v>
      </c>
      <c r="G993" s="43" t="n">
        <v>992</v>
      </c>
      <c r="H993" s="44" t="s">
        <v>3015</v>
      </c>
      <c r="I993" s="44" t="s">
        <v>36</v>
      </c>
      <c r="J993" s="44" t="s">
        <v>47</v>
      </c>
      <c r="K993" s="46" t="n">
        <f aca="false">IF(E993=TRUE(),1,0)</f>
        <v>1</v>
      </c>
      <c r="L993" s="47" t="n">
        <v>46218.7441666667</v>
      </c>
    </row>
    <row r="994" customFormat="false" ht="15" hidden="false" customHeight="true" outlineLevel="0" collapsed="false">
      <c r="A994" s="38" t="n">
        <v>993</v>
      </c>
      <c r="B994" s="39" t="s">
        <v>3016</v>
      </c>
      <c r="C994" s="39" t="s">
        <v>3017</v>
      </c>
      <c r="D994" s="39" t="s">
        <v>33</v>
      </c>
      <c r="E994" s="40" t="b">
        <f aca="false">FALSE()</f>
        <v>0</v>
      </c>
      <c r="F994" s="38" t="s">
        <v>44</v>
      </c>
      <c r="G994" s="38" t="n">
        <v>993</v>
      </c>
      <c r="H994" s="39" t="s">
        <v>3018</v>
      </c>
      <c r="I994" s="39" t="s">
        <v>46</v>
      </c>
      <c r="J994" s="39" t="s">
        <v>37</v>
      </c>
      <c r="K994" s="41" t="n">
        <f aca="false">IF(E994=TRUE(),1,0)</f>
        <v>0</v>
      </c>
      <c r="L994" s="39"/>
    </row>
    <row r="995" customFormat="false" ht="15" hidden="false" customHeight="true" outlineLevel="0" collapsed="false">
      <c r="A995" s="43" t="n">
        <v>994</v>
      </c>
      <c r="B995" s="44" t="s">
        <v>3019</v>
      </c>
      <c r="C995" s="44" t="s">
        <v>3020</v>
      </c>
      <c r="D995" s="44" t="s">
        <v>33</v>
      </c>
      <c r="E995" s="45" t="b">
        <f aca="false">TRUE()</f>
        <v>1</v>
      </c>
      <c r="F995" s="43" t="s">
        <v>34</v>
      </c>
      <c r="G995" s="43" t="n">
        <v>994</v>
      </c>
      <c r="H995" s="44" t="s">
        <v>3021</v>
      </c>
      <c r="I995" s="44" t="s">
        <v>46</v>
      </c>
      <c r="J995" s="44" t="s">
        <v>33</v>
      </c>
      <c r="K995" s="46" t="n">
        <f aca="false">IF(E995=TRUE(),1,0)</f>
        <v>1</v>
      </c>
      <c r="L995" s="47" t="n">
        <v>46218.7459722222</v>
      </c>
    </row>
    <row r="996" customFormat="false" ht="15" hidden="false" customHeight="true" outlineLevel="0" collapsed="false">
      <c r="A996" s="38" t="n">
        <v>995</v>
      </c>
      <c r="B996" s="39" t="s">
        <v>3022</v>
      </c>
      <c r="C996" s="39" t="s">
        <v>3023</v>
      </c>
      <c r="D996" s="39" t="s">
        <v>47</v>
      </c>
      <c r="E996" s="40" t="b">
        <f aca="false">TRUE()</f>
        <v>1</v>
      </c>
      <c r="F996" s="38" t="s">
        <v>40</v>
      </c>
      <c r="G996" s="38" t="n">
        <v>995</v>
      </c>
      <c r="H996" s="39" t="s">
        <v>3024</v>
      </c>
      <c r="I996" s="39" t="s">
        <v>57</v>
      </c>
      <c r="J996" s="39" t="s">
        <v>47</v>
      </c>
      <c r="K996" s="41" t="n">
        <f aca="false">IF(E996=TRUE(),1,0)</f>
        <v>1</v>
      </c>
      <c r="L996" s="42" t="n">
        <v>46218.7482986111</v>
      </c>
    </row>
    <row r="997" customFormat="false" ht="15" hidden="false" customHeight="true" outlineLevel="0" collapsed="false">
      <c r="A997" s="43" t="n">
        <v>996</v>
      </c>
      <c r="B997" s="44" t="s">
        <v>3025</v>
      </c>
      <c r="C997" s="44" t="s">
        <v>3026</v>
      </c>
      <c r="D997" s="44" t="s">
        <v>37</v>
      </c>
      <c r="E997" s="45" t="b">
        <f aca="false">FALSE()</f>
        <v>0</v>
      </c>
      <c r="F997" s="43" t="s">
        <v>44</v>
      </c>
      <c r="G997" s="43" t="n">
        <v>996</v>
      </c>
      <c r="H997" s="44" t="s">
        <v>3027</v>
      </c>
      <c r="I997" s="44" t="s">
        <v>36</v>
      </c>
      <c r="J997" s="44" t="s">
        <v>33</v>
      </c>
      <c r="K997" s="46" t="n">
        <f aca="false">IF(E997=TRUE(),1,0)</f>
        <v>0</v>
      </c>
      <c r="L997" s="44"/>
    </row>
    <row r="998" customFormat="false" ht="15" hidden="false" customHeight="true" outlineLevel="0" collapsed="false">
      <c r="A998" s="38" t="n">
        <v>997</v>
      </c>
      <c r="B998" s="39" t="s">
        <v>3028</v>
      </c>
      <c r="C998" s="39" t="s">
        <v>3029</v>
      </c>
      <c r="D998" s="39" t="s">
        <v>47</v>
      </c>
      <c r="E998" s="40" t="b">
        <f aca="false">FALSE()</f>
        <v>0</v>
      </c>
      <c r="F998" s="38" t="s">
        <v>34</v>
      </c>
      <c r="G998" s="38" t="n">
        <v>997</v>
      </c>
      <c r="H998" s="39" t="s">
        <v>3030</v>
      </c>
      <c r="I998" s="39" t="s">
        <v>36</v>
      </c>
      <c r="J998" s="39" t="s">
        <v>47</v>
      </c>
      <c r="K998" s="41" t="n">
        <f aca="false">IF(E998=TRUE(),1,0)</f>
        <v>0</v>
      </c>
      <c r="L998" s="39"/>
    </row>
    <row r="999" customFormat="false" ht="15" hidden="false" customHeight="true" outlineLevel="0" collapsed="false">
      <c r="A999" s="43" t="n">
        <v>998</v>
      </c>
      <c r="B999" s="44" t="s">
        <v>3031</v>
      </c>
      <c r="C999" s="44" t="s">
        <v>3032</v>
      </c>
      <c r="D999" s="44" t="s">
        <v>37</v>
      </c>
      <c r="E999" s="45" t="b">
        <f aca="false">FALSE()</f>
        <v>0</v>
      </c>
      <c r="F999" s="43" t="s">
        <v>44</v>
      </c>
      <c r="G999" s="43" t="n">
        <v>998</v>
      </c>
      <c r="H999" s="44" t="s">
        <v>3033</v>
      </c>
      <c r="I999" s="44" t="s">
        <v>36</v>
      </c>
      <c r="J999" s="44" t="s">
        <v>47</v>
      </c>
      <c r="K999" s="46" t="n">
        <f aca="false">IF(E999=TRUE(),1,0)</f>
        <v>0</v>
      </c>
      <c r="L999" s="44"/>
    </row>
    <row r="1000" customFormat="false" ht="15" hidden="false" customHeight="true" outlineLevel="0" collapsed="false">
      <c r="A1000" s="38" t="n">
        <v>999</v>
      </c>
      <c r="B1000" s="39" t="s">
        <v>3034</v>
      </c>
      <c r="C1000" s="39" t="s">
        <v>3035</v>
      </c>
      <c r="D1000" s="39" t="s">
        <v>47</v>
      </c>
      <c r="E1000" s="40" t="b">
        <f aca="false">TRUE()</f>
        <v>1</v>
      </c>
      <c r="F1000" s="38" t="s">
        <v>34</v>
      </c>
      <c r="G1000" s="38" t="n">
        <v>999</v>
      </c>
      <c r="H1000" s="39" t="s">
        <v>3036</v>
      </c>
      <c r="I1000" s="39" t="s">
        <v>46</v>
      </c>
      <c r="J1000" s="39" t="s">
        <v>47</v>
      </c>
      <c r="K1000" s="41" t="n">
        <f aca="false">IF(E1000=TRUE(),1,0)</f>
        <v>1</v>
      </c>
      <c r="L1000" s="42" t="n">
        <v>46218.7495949074</v>
      </c>
    </row>
    <row r="1001" customFormat="false" ht="15" hidden="false" customHeight="true" outlineLevel="0" collapsed="false">
      <c r="A1001" s="43" t="n">
        <v>1000</v>
      </c>
      <c r="B1001" s="44" t="s">
        <v>3037</v>
      </c>
      <c r="C1001" s="44" t="s">
        <v>3038</v>
      </c>
      <c r="D1001" s="44" t="s">
        <v>47</v>
      </c>
      <c r="E1001" s="45" t="b">
        <f aca="false">FALSE()</f>
        <v>0</v>
      </c>
      <c r="F1001" s="43" t="s">
        <v>44</v>
      </c>
      <c r="G1001" s="43" t="n">
        <v>1000</v>
      </c>
      <c r="H1001" s="44" t="s">
        <v>3039</v>
      </c>
      <c r="I1001" s="44" t="s">
        <v>36</v>
      </c>
      <c r="J1001" s="44" t="s">
        <v>47</v>
      </c>
      <c r="K1001" s="46" t="n">
        <f aca="false">IF(E1001=TRUE(),1,0)</f>
        <v>0</v>
      </c>
      <c r="L1001" s="44"/>
    </row>
  </sheetData>
  <autoFilter ref="A1:L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6" min="6" style="1" width="22"/>
    <col collapsed="false" customWidth="true" hidden="false" outlineLevel="0" max="8" min="7" style="1" width="16"/>
  </cols>
  <sheetData>
    <row r="1" customFormat="false" ht="15.75" hidden="false" customHeight="true" outlineLevel="0" collapsed="false">
      <c r="A1" s="48" t="s">
        <v>3040</v>
      </c>
      <c r="B1" s="48"/>
      <c r="C1" s="48"/>
      <c r="D1" s="48"/>
      <c r="F1" s="48" t="s">
        <v>3041</v>
      </c>
      <c r="G1" s="48"/>
      <c r="H1" s="48"/>
    </row>
    <row r="2" customFormat="false" ht="15" hidden="false" customHeight="true" outlineLevel="0" collapsed="false">
      <c r="A2" s="49" t="s">
        <v>8</v>
      </c>
      <c r="B2" s="49" t="s">
        <v>3042</v>
      </c>
      <c r="C2" s="49" t="s">
        <v>10</v>
      </c>
      <c r="D2" s="49" t="s">
        <v>11</v>
      </c>
      <c r="F2" s="49" t="s">
        <v>3043</v>
      </c>
      <c r="G2" s="49" t="s">
        <v>3044</v>
      </c>
      <c r="H2" s="49" t="s">
        <v>3045</v>
      </c>
    </row>
    <row r="3" customFormat="false" ht="15" hidden="false" customHeight="true" outlineLevel="0" collapsed="false">
      <c r="A3" s="50" t="s">
        <v>33</v>
      </c>
      <c r="B3" s="51" t="n">
        <f aca="false">COUNTIF('Raw Data'!D2:D1001,A3)</f>
        <v>321</v>
      </c>
      <c r="C3" s="51" t="n">
        <f aca="false">COUNTIFS('Raw Data'!D2:D1001,A3,'Raw Data'!E2:E1001,TRUE())</f>
        <v>164</v>
      </c>
      <c r="D3" s="52" t="n">
        <f aca="false">IF(B3=0,0,C3/B3)</f>
        <v>0.510903426791277</v>
      </c>
      <c r="F3" s="50" t="s">
        <v>36</v>
      </c>
      <c r="G3" s="51" t="n">
        <f aca="false">SUMIF('Raw Data'!I2:I1001,F3,'Raw Data'!K2:K1001)</f>
        <v>161</v>
      </c>
      <c r="H3" s="52" t="n">
        <f aca="false">IF(SUM(G$3:G$5)=0,0,G3/SUM(G$3:G$5))</f>
        <v>0.327902240325866</v>
      </c>
    </row>
    <row r="4" customFormat="false" ht="15" hidden="false" customHeight="true" outlineLevel="0" collapsed="false">
      <c r="A4" s="53" t="s">
        <v>37</v>
      </c>
      <c r="B4" s="54" t="n">
        <f aca="false">COUNTIF('Raw Data'!D2:D1001,A4)</f>
        <v>335</v>
      </c>
      <c r="C4" s="54" t="n">
        <f aca="false">COUNTIFS('Raw Data'!D2:D1001,A4,'Raw Data'!E2:E1001,TRUE())</f>
        <v>157</v>
      </c>
      <c r="D4" s="55" t="n">
        <f aca="false">IF(B4=0,0,C4/B4)</f>
        <v>0.46865671641791</v>
      </c>
      <c r="F4" s="53" t="s">
        <v>46</v>
      </c>
      <c r="G4" s="54" t="n">
        <f aca="false">SUMIF('Raw Data'!I2:I1001,F4,'Raw Data'!K2:K1001)</f>
        <v>165</v>
      </c>
      <c r="H4" s="55" t="n">
        <f aca="false">IF(SUM(G$3:G$5)=0,0,G4/SUM(G$3:G$5))</f>
        <v>0.336048879837067</v>
      </c>
    </row>
    <row r="5" customFormat="false" ht="15" hidden="false" customHeight="true" outlineLevel="0" collapsed="false">
      <c r="A5" s="50" t="s">
        <v>47</v>
      </c>
      <c r="B5" s="51" t="n">
        <f aca="false">COUNTIF('Raw Data'!D2:D1001,A5)</f>
        <v>344</v>
      </c>
      <c r="C5" s="51" t="n">
        <f aca="false">COUNTIFS('Raw Data'!D2:D1001,A5,'Raw Data'!E2:E1001,TRUE())</f>
        <v>170</v>
      </c>
      <c r="D5" s="52" t="n">
        <f aca="false">IF(B5=0,0,C5/B5)</f>
        <v>0.494186046511628</v>
      </c>
      <c r="F5" s="50" t="s">
        <v>57</v>
      </c>
      <c r="G5" s="51" t="n">
        <f aca="false">SUMIF('Raw Data'!I2:I1001,F5,'Raw Data'!K2:K1001)</f>
        <v>165</v>
      </c>
      <c r="H5" s="52" t="n">
        <f aca="false">IF(SUM(G$3:G$5)=0,0,G5/SUM(G$3:G$5))</f>
        <v>0.336048879837067</v>
      </c>
    </row>
    <row r="8" customFormat="false" ht="15.75" hidden="false" customHeight="true" outlineLevel="0" collapsed="false">
      <c r="A8" s="48" t="s">
        <v>3046</v>
      </c>
      <c r="B8" s="48"/>
      <c r="C8" s="48"/>
    </row>
    <row r="9" customFormat="false" ht="15" hidden="false" customHeight="true" outlineLevel="0" collapsed="false">
      <c r="A9" s="49" t="s">
        <v>3047</v>
      </c>
      <c r="B9" s="49" t="s">
        <v>3048</v>
      </c>
      <c r="C9" s="49" t="s">
        <v>3049</v>
      </c>
    </row>
    <row r="10" customFormat="false" ht="15" hidden="false" customHeight="true" outlineLevel="0" collapsed="false">
      <c r="A10" s="56" t="s">
        <v>3050</v>
      </c>
      <c r="B10" s="51" t="n">
        <f aca="false">COUNTIFS('Raw Data'!E2:E1001,TRUE(),'Raw Data'!L2:L1001,"&gt;="&amp;DATE(2026,7,15)+TIME(7,0,0),'Raw Data'!L2:L1001,"&lt;"&amp;DATE(2026,7,15)+TIME(8,0,0))</f>
        <v>39</v>
      </c>
      <c r="C10" s="51" t="n">
        <f aca="false">B10</f>
        <v>39</v>
      </c>
    </row>
    <row r="11" customFormat="false" ht="15" hidden="false" customHeight="true" outlineLevel="0" collapsed="false">
      <c r="A11" s="57" t="s">
        <v>3051</v>
      </c>
      <c r="B11" s="54" t="n">
        <f aca="false">COUNTIFS('Raw Data'!E2:E1001,TRUE(),'Raw Data'!L2:L1001,"&gt;="&amp;DATE(2026,7,15)+TIME(8,0,0),'Raw Data'!L2:L1001,"&lt;"&amp;DATE(2026,7,15)+TIME(9,0,0))</f>
        <v>57</v>
      </c>
      <c r="C11" s="54" t="n">
        <f aca="false">C10+B11</f>
        <v>96</v>
      </c>
    </row>
    <row r="12" customFormat="false" ht="15" hidden="false" customHeight="true" outlineLevel="0" collapsed="false">
      <c r="A12" s="56" t="s">
        <v>3052</v>
      </c>
      <c r="B12" s="51" t="n">
        <f aca="false">COUNTIFS('Raw Data'!E2:E1001,TRUE(),'Raw Data'!L2:L1001,"&gt;="&amp;DATE(2026,7,15)+TIME(9,0,0),'Raw Data'!L2:L1001,"&lt;"&amp;DATE(2026,7,15)+TIME(10,0,0))</f>
        <v>46</v>
      </c>
      <c r="C12" s="51" t="n">
        <f aca="false">C11+B12</f>
        <v>142</v>
      </c>
    </row>
    <row r="13" customFormat="false" ht="15" hidden="false" customHeight="true" outlineLevel="0" collapsed="false">
      <c r="A13" s="57" t="s">
        <v>3053</v>
      </c>
      <c r="B13" s="54" t="n">
        <f aca="false">COUNTIFS('Raw Data'!E2:E1001,TRUE(),'Raw Data'!L2:L1001,"&gt;="&amp;DATE(2026,7,15)+TIME(10,0,0),'Raw Data'!L2:L1001,"&lt;"&amp;DATE(2026,7,15)+TIME(11,0,0))</f>
        <v>42</v>
      </c>
      <c r="C13" s="54" t="n">
        <f aca="false">C12+B13</f>
        <v>184</v>
      </c>
    </row>
    <row r="14" customFormat="false" ht="15" hidden="false" customHeight="true" outlineLevel="0" collapsed="false">
      <c r="A14" s="56" t="s">
        <v>3054</v>
      </c>
      <c r="B14" s="51" t="n">
        <f aca="false">COUNTIFS('Raw Data'!E2:E1001,TRUE(),'Raw Data'!L2:L1001,"&gt;="&amp;DATE(2026,7,15)+TIME(11,0,0),'Raw Data'!L2:L1001,"&lt;"&amp;DATE(2026,7,15)+TIME(12,0,0))</f>
        <v>54</v>
      </c>
      <c r="C14" s="51" t="n">
        <f aca="false">C13+B14</f>
        <v>238</v>
      </c>
    </row>
    <row r="15" customFormat="false" ht="15" hidden="false" customHeight="true" outlineLevel="0" collapsed="false">
      <c r="A15" s="57" t="s">
        <v>3055</v>
      </c>
      <c r="B15" s="54" t="n">
        <f aca="false">COUNTIFS('Raw Data'!E2:E1001,TRUE(),'Raw Data'!L2:L1001,"&gt;="&amp;DATE(2026,7,15)+TIME(12,0,0),'Raw Data'!L2:L1001,"&lt;"&amp;DATE(2026,7,15)+TIME(13,0,0))</f>
        <v>44</v>
      </c>
      <c r="C15" s="54" t="n">
        <f aca="false">C14+B15</f>
        <v>282</v>
      </c>
    </row>
    <row r="16" customFormat="false" ht="15" hidden="false" customHeight="true" outlineLevel="0" collapsed="false">
      <c r="A16" s="56" t="s">
        <v>3056</v>
      </c>
      <c r="B16" s="51" t="n">
        <f aca="false">COUNTIFS('Raw Data'!E2:E1001,TRUE(),'Raw Data'!L2:L1001,"&gt;="&amp;DATE(2026,7,15)+TIME(13,0,0),'Raw Data'!L2:L1001,"&lt;"&amp;DATE(2026,7,15)+TIME(14,0,0))</f>
        <v>40</v>
      </c>
      <c r="C16" s="51" t="n">
        <f aca="false">C15+B16</f>
        <v>322</v>
      </c>
    </row>
    <row r="17" customFormat="false" ht="15" hidden="false" customHeight="true" outlineLevel="0" collapsed="false">
      <c r="A17" s="57" t="s">
        <v>3057</v>
      </c>
      <c r="B17" s="54" t="n">
        <f aca="false">COUNTIFS('Raw Data'!E2:E1001,TRUE(),'Raw Data'!L2:L1001,"&gt;="&amp;DATE(2026,7,15)+TIME(14,0,0),'Raw Data'!L2:L1001,"&lt;"&amp;DATE(2026,7,15)+TIME(15,0,0))</f>
        <v>45</v>
      </c>
      <c r="C17" s="54" t="n">
        <f aca="false">C16+B17</f>
        <v>367</v>
      </c>
    </row>
    <row r="18" customFormat="false" ht="15" hidden="false" customHeight="true" outlineLevel="0" collapsed="false">
      <c r="A18" s="56" t="s">
        <v>3058</v>
      </c>
      <c r="B18" s="51" t="n">
        <f aca="false">COUNTIFS('Raw Data'!E2:E1001,TRUE(),'Raw Data'!L2:L1001,"&gt;="&amp;DATE(2026,7,15)+TIME(15,0,0),'Raw Data'!L2:L1001,"&lt;"&amp;DATE(2026,7,15)+TIME(16,0,0))</f>
        <v>34</v>
      </c>
      <c r="C18" s="51" t="n">
        <f aca="false">C17+B18</f>
        <v>401</v>
      </c>
    </row>
    <row r="19" customFormat="false" ht="15" hidden="false" customHeight="true" outlineLevel="0" collapsed="false">
      <c r="A19" s="57" t="s">
        <v>3059</v>
      </c>
      <c r="B19" s="54" t="n">
        <f aca="false">COUNTIFS('Raw Data'!E2:E1001,TRUE(),'Raw Data'!L2:L1001,"&gt;="&amp;DATE(2026,7,15)+TIME(16,0,0),'Raw Data'!L2:L1001,"&lt;"&amp;DATE(2026,7,15)+TIME(17,0,0))</f>
        <v>43</v>
      </c>
      <c r="C19" s="54" t="n">
        <f aca="false">C18+B19</f>
        <v>444</v>
      </c>
    </row>
    <row r="20" customFormat="false" ht="15" hidden="false" customHeight="true" outlineLevel="0" collapsed="false">
      <c r="A20" s="56" t="s">
        <v>3060</v>
      </c>
      <c r="B20" s="51" t="n">
        <f aca="false">COUNTIFS('Raw Data'!E2:E1001,TRUE(),'Raw Data'!L2:L1001,"&gt;="&amp;DATE(2026,7,15)+TIME(17,0,0),'Raw Data'!L2:L1001,"&lt;"&amp;DATE(2026,7,15)+TIME(18,0,0))</f>
        <v>47</v>
      </c>
      <c r="C20" s="51" t="n">
        <f aca="false">C19+B20</f>
        <v>491</v>
      </c>
    </row>
    <row r="21" customFormat="false" ht="15" hidden="false" customHeight="true" outlineLevel="0" collapsed="false">
      <c r="A21" s="57" t="s">
        <v>3061</v>
      </c>
      <c r="B21" s="54" t="n">
        <f aca="false">COUNTIFS('Raw Data'!E2:E1001,TRUE(),'Raw Data'!L2:L1001,"&gt;="&amp;DATE(2026,7,15)+TIME(18,0,0),'Raw Data'!L2:L1001,"&lt;"&amp;DATE(2026,7,15)+TIME(19,0,0))</f>
        <v>0</v>
      </c>
      <c r="C21" s="54" t="n">
        <f aca="false">C20+B21</f>
        <v>491</v>
      </c>
    </row>
    <row r="23" customFormat="false" ht="15" hidden="false" customHeight="true" outlineLevel="0" collapsed="false">
      <c r="A23" s="58" t="s">
        <v>3062</v>
      </c>
      <c r="B23" s="58"/>
      <c r="C23" s="58"/>
    </row>
    <row r="24" customFormat="false" ht="15" hidden="false" customHeight="true" outlineLevel="0" collapsed="false">
      <c r="A24" s="59" t="s">
        <v>13</v>
      </c>
      <c r="B24" s="59" t="s">
        <v>14</v>
      </c>
      <c r="C24" s="59" t="s">
        <v>3063</v>
      </c>
    </row>
    <row r="25" customFormat="false" ht="15" hidden="false" customHeight="true" outlineLevel="0" collapsed="false">
      <c r="A25" s="1" t="s">
        <v>3064</v>
      </c>
      <c r="B25" s="1" t="n">
        <f aca="false">COUNTIF('Raw Data'!F2:F1001,"APPROVED")</f>
        <v>303</v>
      </c>
      <c r="C25" s="60" t="n">
        <f aca="false">IF(SUM(B$25:B$27)=0,0,B25/SUM(B$25:B$27))</f>
        <v>0.303</v>
      </c>
    </row>
    <row r="26" customFormat="false" ht="15" hidden="false" customHeight="true" outlineLevel="0" collapsed="false">
      <c r="A26" s="1" t="s">
        <v>3065</v>
      </c>
      <c r="B26" s="1" t="n">
        <f aca="false">COUNTIF('Raw Data'!F2:F1001,"PENDING")</f>
        <v>369</v>
      </c>
      <c r="C26" s="60" t="n">
        <f aca="false">IF(SUM(B$25:B$27)=0,0,B26/SUM(B$25:B$27))</f>
        <v>0.369</v>
      </c>
    </row>
    <row r="27" customFormat="false" ht="15" hidden="false" customHeight="true" outlineLevel="0" collapsed="false">
      <c r="A27" s="1" t="s">
        <v>3066</v>
      </c>
      <c r="B27" s="1" t="n">
        <f aca="false">COUNTIF('Raw Data'!F2:F1001,"REJECTED")</f>
        <v>328</v>
      </c>
      <c r="C27" s="60" t="n">
        <f aca="false">IF(SUM(B$25:B$27)=0,0,B27/SUM(B$25:B$27))</f>
        <v>0.328</v>
      </c>
    </row>
  </sheetData>
  <mergeCells count="4">
    <mergeCell ref="A1:D1"/>
    <mergeCell ref="F1:H1"/>
    <mergeCell ref="A8:C8"/>
    <mergeCell ref="A23:C23"/>
  </mergeCells>
  <conditionalFormatting sqref="D3:D5">
    <cfRule type="colorScale" priority="2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2026-07-18T18:24:10Z</dcterms:created>
  <dc:creator>openpyxl</dc:creator>
  <dc:description/>
  <dc:language>en-US</dc:language>
  <cp:lastModifiedBy/>
  <dcterms:modified xsi:type="dcterms:W3CDTF">2026-07-18T18:39:53Z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